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hidePivotFieldList="1" defaultThemeVersion="166925"/>
  <mc:AlternateContent xmlns:mc="http://schemas.openxmlformats.org/markup-compatibility/2006">
    <mc:Choice Requires="x15">
      <x15ac:absPath xmlns:x15ac="http://schemas.microsoft.com/office/spreadsheetml/2010/11/ac" url="D:\working\waccache\PN1PEPF00006B16\EXCELCNV\dcb5ade5-993f-47d8-a79e-ba7a673d366a\"/>
    </mc:Choice>
  </mc:AlternateContent>
  <xr:revisionPtr revIDLastSave="0" documentId="8_{2DCA60A4-D336-4C5A-A598-5F1DEDF707BA}" xr6:coauthVersionLast="47" xr6:coauthVersionMax="47" xr10:uidLastSave="{00000000-0000-0000-0000-000000000000}"/>
  <bookViews>
    <workbookView xWindow="-60" yWindow="-60" windowWidth="15480" windowHeight="11640" firstSheet="2" xr2:uid="{6421841E-BC8B-4754-B3E2-A627F62FC001}"/>
  </bookViews>
  <sheets>
    <sheet name="Normalized Cleaned Tables" sheetId="1" r:id="rId1"/>
    <sheet name="Master Table" sheetId="2" r:id="rId2"/>
    <sheet name="Dashboard" sheetId="3" r:id="rId3"/>
  </sheets>
  <definedNames>
    <definedName name="currProf">Dashboard!$W$9:$W$9</definedName>
    <definedName name="Slicer_location">#N/A</definedName>
  </definedNames>
  <calcPr calcId="191028"/>
  <pivotCaches>
    <pivotCache cacheId="73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a="1"/>
  <c r="D6" i="3"/>
  <c r="B6" i="3"/>
  <c r="F6" i="3"/>
  <c r="F13" i="3"/>
  <c r="E13" i="3"/>
  <c r="E9" i="3"/>
  <c r="D13" i="3"/>
  <c r="H73" i="2"/>
  <c r="G73" i="2"/>
  <c r="F73" i="2"/>
  <c r="H72" i="2"/>
  <c r="G72" i="2"/>
  <c r="F72" i="2"/>
  <c r="H71" i="2"/>
  <c r="G71" i="2"/>
  <c r="F71" i="2"/>
  <c r="H70" i="2"/>
  <c r="G70" i="2"/>
  <c r="F70" i="2"/>
  <c r="H69" i="2"/>
  <c r="G69" i="2"/>
  <c r="F69" i="2"/>
  <c r="H68" i="2"/>
  <c r="G68" i="2"/>
  <c r="F68" i="2"/>
  <c r="H67" i="2"/>
  <c r="G67" i="2"/>
  <c r="F67" i="2"/>
  <c r="H66" i="2"/>
  <c r="G66" i="2"/>
  <c r="F66" i="2"/>
  <c r="H65" i="2"/>
  <c r="G65" i="2"/>
  <c r="F65" i="2"/>
  <c r="H64" i="2"/>
  <c r="G64" i="2"/>
  <c r="F64" i="2"/>
  <c r="H63" i="2"/>
  <c r="G63" i="2"/>
  <c r="F63" i="2"/>
  <c r="H62" i="2"/>
  <c r="G62" i="2"/>
  <c r="F62" i="2"/>
  <c r="H61" i="2"/>
  <c r="G61" i="2"/>
  <c r="F61" i="2"/>
  <c r="H60" i="2"/>
  <c r="G60" i="2"/>
  <c r="F60" i="2"/>
  <c r="H59" i="2"/>
  <c r="G59" i="2"/>
  <c r="F59" i="2"/>
  <c r="H58" i="2"/>
  <c r="G58" i="2"/>
  <c r="F58" i="2"/>
  <c r="H57" i="2"/>
  <c r="G57" i="2"/>
  <c r="F57" i="2"/>
  <c r="H56" i="2"/>
  <c r="G56" i="2"/>
  <c r="F56" i="2"/>
  <c r="H55" i="2"/>
  <c r="G55" i="2"/>
  <c r="F55" i="2"/>
  <c r="H54" i="2"/>
  <c r="G54" i="2"/>
  <c r="F54" i="2"/>
  <c r="H53" i="2"/>
  <c r="G53" i="2"/>
  <c r="F53" i="2"/>
  <c r="H52" i="2"/>
  <c r="G52" i="2"/>
  <c r="F52" i="2"/>
  <c r="H51" i="2"/>
  <c r="G51" i="2"/>
  <c r="F51" i="2"/>
  <c r="H50" i="2"/>
  <c r="G50" i="2"/>
  <c r="F50" i="2"/>
  <c r="H49" i="2"/>
  <c r="G49" i="2"/>
  <c r="F49" i="2"/>
  <c r="H48" i="2"/>
  <c r="G48" i="2"/>
  <c r="F48" i="2"/>
  <c r="H47" i="2"/>
  <c r="G47" i="2"/>
  <c r="F47" i="2"/>
  <c r="H46" i="2"/>
  <c r="G46" i="2"/>
  <c r="F46" i="2"/>
  <c r="H45" i="2"/>
  <c r="G45" i="2"/>
  <c r="F45" i="2"/>
  <c r="H44" i="2"/>
  <c r="G44" i="2"/>
  <c r="F44" i="2"/>
  <c r="H43" i="2"/>
  <c r="G43" i="2"/>
  <c r="F43" i="2"/>
  <c r="H42" i="2"/>
  <c r="G42" i="2"/>
  <c r="F42" i="2"/>
  <c r="H41" i="2"/>
  <c r="G41" i="2"/>
  <c r="F41" i="2"/>
  <c r="H40" i="2"/>
  <c r="G40" i="2"/>
  <c r="F40" i="2"/>
  <c r="H39" i="2"/>
  <c r="G39" i="2"/>
  <c r="F39" i="2"/>
  <c r="H38" i="2"/>
  <c r="G38" i="2"/>
  <c r="F38" i="2"/>
  <c r="H37" i="2"/>
  <c r="G37" i="2"/>
  <c r="F37" i="2"/>
  <c r="H36" i="2"/>
  <c r="G36" i="2"/>
  <c r="F36" i="2"/>
  <c r="H35" i="2"/>
  <c r="G35" i="2"/>
  <c r="F35" i="2"/>
  <c r="H34" i="2"/>
  <c r="G34" i="2"/>
  <c r="F34" i="2"/>
  <c r="H33" i="2"/>
  <c r="G33" i="2"/>
  <c r="F33" i="2"/>
  <c r="H32" i="2"/>
  <c r="G32" i="2"/>
  <c r="F32" i="2"/>
  <c r="H31" i="2"/>
  <c r="G31" i="2"/>
  <c r="F31" i="2"/>
  <c r="H30" i="2"/>
  <c r="G30" i="2"/>
  <c r="F30" i="2"/>
  <c r="H29" i="2"/>
  <c r="G29" i="2"/>
  <c r="F29" i="2"/>
  <c r="H28" i="2"/>
  <c r="G28" i="2"/>
  <c r="F28" i="2"/>
  <c r="H27" i="2"/>
  <c r="G27" i="2"/>
  <c r="F27" i="2"/>
  <c r="H26" i="2"/>
  <c r="G26" i="2"/>
  <c r="F26" i="2"/>
  <c r="H25" i="2"/>
  <c r="G25" i="2"/>
  <c r="F25" i="2"/>
  <c r="H24" i="2"/>
  <c r="G24" i="2"/>
  <c r="F24" i="2"/>
  <c r="H23" i="2"/>
  <c r="G23" i="2"/>
  <c r="F23" i="2"/>
  <c r="H22" i="2"/>
  <c r="G22" i="2"/>
  <c r="F22" i="2"/>
  <c r="H21" i="2"/>
  <c r="G21" i="2"/>
  <c r="F21" i="2"/>
  <c r="H20" i="2"/>
  <c r="G20" i="2"/>
  <c r="F20" i="2"/>
  <c r="H19" i="2"/>
  <c r="G19" i="2"/>
  <c r="F19" i="2"/>
  <c r="H18" i="2"/>
  <c r="G18" i="2"/>
  <c r="F18" i="2"/>
  <c r="H17" i="2"/>
  <c r="G17" i="2"/>
  <c r="F17" i="2"/>
  <c r="H16" i="2"/>
  <c r="G16" i="2"/>
  <c r="F16" i="2"/>
  <c r="H15" i="2"/>
  <c r="G15" i="2"/>
  <c r="F15" i="2"/>
  <c r="H14" i="2"/>
  <c r="G14" i="2"/>
  <c r="F14" i="2"/>
  <c r="H13" i="2"/>
  <c r="G13" i="2"/>
  <c r="F13" i="2"/>
  <c r="H12" i="2"/>
  <c r="G12" i="2"/>
  <c r="F12" i="2"/>
  <c r="H11" i="2"/>
  <c r="G11" i="2"/>
  <c r="F11" i="2"/>
  <c r="H10" i="2"/>
  <c r="G10" i="2"/>
  <c r="F10" i="2"/>
  <c r="H9" i="2"/>
  <c r="G9" i="2"/>
  <c r="F9" i="2"/>
  <c r="H8" i="2"/>
  <c r="G8" i="2"/>
  <c r="F8" i="2"/>
  <c r="H7" i="2"/>
  <c r="G7" i="2"/>
  <c r="F7" i="2"/>
  <c r="H6" i="2"/>
  <c r="G6" i="2"/>
  <c r="F6" i="2"/>
  <c r="H5" i="2"/>
  <c r="G5" i="2"/>
  <c r="F5" i="2"/>
  <c r="H4" i="2"/>
  <c r="G4" i="2"/>
  <c r="F4" i="2"/>
  <c r="H3" i="2"/>
  <c r="G3" i="2"/>
  <c r="F3" i="2"/>
  <c r="H2" i="2"/>
  <c r="G2" i="2"/>
  <c r="F2"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S2" i="1" l="1" a="1"/>
  <c r="S2" i="1" s="1"/>
  <c r="G13" i="3"/>
  <c r="H13" i="3"/>
  <c r="C9" i="3"/>
  <c r="W9" i="3" a="1"/>
  <c r="W9" i="3" s="1"/>
  <c r="F9" i="3"/>
  <c r="H9" i="3"/>
  <c r="G9" i="3"/>
  <c r="D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<sst xmlns="http://schemas.openxmlformats.org/spreadsheetml/2006/main" count="889" uniqueCount="363">
  <si>
    <t>feature_id</t>
  </si>
  <si>
    <t>location</t>
  </si>
  <si>
    <t>Age_Group</t>
  </si>
  <si>
    <t>profession</t>
  </si>
  <si>
    <t>id</t>
  </si>
  <si>
    <t>name</t>
  </si>
  <si>
    <t>description</t>
  </si>
  <si>
    <t>detailed_explanation</t>
  </si>
  <si>
    <t>category</t>
  </si>
  <si>
    <t>age_group</t>
  </si>
  <si>
    <t>Profession</t>
  </si>
  <si>
    <t>Count</t>
  </si>
  <si>
    <t>Nationwide</t>
  </si>
  <si>
    <t>All Age Groups</t>
  </si>
  <si>
    <t>Daily Wage Workers, Low-Income Individuals</t>
  </si>
  <si>
    <t>Zero-Poverty</t>
  </si>
  <si>
    <t>Comprehensive measures to eradicate poverty through social welfare, employment, and financial inclusion programs.</t>
  </si>
  <si>
    <t>{affects": "- Low-income households receive financial aid and job opportunities\n- Entrepreneurs and MSMEs benefit from microfinance support\n- Social welfare schemes improve standard of living"</t>
  </si>
  <si>
    <t xml:space="preserve"> "explanation": "- Implement large-scale employment generation programs\n- Expand social security and direct benefit transfers\n- Strengthen financial inclusion and microfinance initiatives"}"</t>
  </si>
  <si>
    <t>Children</t>
  </si>
  <si>
    <t>Students, Teachers</t>
  </si>
  <si>
    <t>Hundred Per Cent Good Quality School Education</t>
  </si>
  <si>
    <t>Ensuring universal access to high-quality education through curriculum reform, teacher training, and infrastructure development.</t>
  </si>
  <si>
    <t>{affects": "- Students receive improved education quality\n- Teachers benefit from professional development programs\n- Parents see better academic outcomes for children"</t>
  </si>
  <si>
    <t xml:space="preserve"> "explanation": "- Upgrade school infrastructure and digital learning facilities\n- Implement teacher training programs for quality education\n- Introduce skill-based learning and holistic curriculum"}"</t>
  </si>
  <si>
    <t>General Public</t>
  </si>
  <si>
    <t>Access to High-Quality, Affordable, and Comprehensive Healthcare</t>
  </si>
  <si>
    <t>Initiatives to enhance healthcare accessibility and affordability, including the establishment of Day Care Cancer Centres and exemption of customs duty on life-saving cancer drugs.</t>
  </si>
  <si>
    <t>{affects": "- Improved access to quality cancer care in underserved regions\n- Reduced financial burden on patients requiring life-saving medications"</t>
  </si>
  <si>
    <t xml:space="preserve"> "explanation": "- Establish Day Care Cancer Centres in all district hospitals over the next three years\n- Exempt 36 life-saving cancer drugs from customs duty"}"</t>
  </si>
  <si>
    <t>Adults</t>
  </si>
  <si>
    <t>Hundred Per Cent Skilled Labour with Meaningful Employment</t>
  </si>
  <si>
    <t>Initiatives to achieve full skilled employment through intensive skill-development programs and employment generation across various sectors.</t>
  </si>
  <si>
    <t>{affects": "- Youth gain relevant skills for employment\n- Increased job opportunities in diverse sectors\n- Economic growth through a skilled workforce"</t>
  </si>
  <si>
    <t xml:space="preserve"> "explanation": "- Organize intensive skill-development programs for youth\n- Create employment opportunities in sectors like tourism</t>
  </si>
  <si>
    <t>Female Workforce</t>
  </si>
  <si>
    <t>Seventy Per Cent Women in Economic Activities</t>
  </si>
  <si>
    <t>Initiatives to increase women's participation in the workforce from the current 40.3% to 70%, including enhanced gender-focused budget allocations and support for women entrepreneurs.</t>
  </si>
  <si>
    <t>{affects": "- Women gain increased access to financial resources and entrepreneurial support\n- Enhanced skill development programs lead to higher employability of women\n- Overall economic growth through increased female labor force participation"</t>
  </si>
  <si>
    <t xml:space="preserve"> "explanation": "- Increase Gender Budget allocation to 8.86% of the total budget\n- Provide term loans up to INR 2 crore for first-time women entrepreneurs over the next five years\n- Support skill development and employment opportunities for women"}"</t>
  </si>
  <si>
    <t>Agribusiness Entrepreneurs, Exporters, Farmers</t>
  </si>
  <si>
    <t>Farmers Making Our Country the Food Basket of the World""</t>
  </si>
  <si>
    <t>Initiatives to enhance agricultural productivity and export potential, positioning India as a leading global food supplier.</t>
  </si>
  <si>
    <t>{affects": "- Farmers benefit from improved resources and market access\n- Strengthened agricultural supply chains\n- Enhanced global competitiveness of Indian agriculture"</t>
  </si>
  <si>
    <t xml:space="preserve"> "explanation": "- Increase budget allocation for agriculture by over 15% to $20 billion\n- Develop high-yielding seed varieties and improve storage infrastructure\n- Aim to boost farm exports to $80 billion by 2030"}"</t>
  </si>
  <si>
    <t>Economists, General Public</t>
  </si>
  <si>
    <t>Union Budget 2025-2026 Financial Estimates</t>
  </si>
  <si>
    <t>The total receipts, excluding borrowings, are estimated at â‚¹34.96 lakh crore, while the total expenditure is projected at â‚¹50.65 lakh crore for the fiscal year 2025-2026.</t>
  </si>
  <si>
    <t>{affects": "- Reflects the government's fiscal policy and budgetary allocations for various sectors"</t>
  </si>
  <si>
    <t xml:space="preserve"> "explanation": "- Total receipts (excluding borrowings): â‚¹34.96 lakh crore\n- Total expenditure: â‚¹50.65 lakh crore"}"</t>
  </si>
  <si>
    <t>Union Budget 2025-2026 Net Tax Receipts</t>
  </si>
  <si>
    <t>The net tax receipts for the fiscal year 2025-2026 are estimated at â‚¹28.37 lakh crore.</t>
  </si>
  <si>
    <t>{affects": "- Indicates the government's revenue from taxes after transfers to states"</t>
  </si>
  <si>
    <t xml:space="preserve"> "explanation": "- Net tax receipts: â‚¹28.37 lakh crore"}"</t>
  </si>
  <si>
    <t>Union Budget 2025-2026 Fiscal Deficit Estimate</t>
  </si>
  <si>
    <t>The fiscal deficit for the fiscal year 2025-2026 is estimated to be 4.4% of GDP.</t>
  </si>
  <si>
    <t>{affects": "- A high fiscal deficit can lead to inflation</t>
  </si>
  <si>
    <t xml:space="preserve"> affecting the cost of living for citizens.\n- It influences interest rates</t>
  </si>
  <si>
    <t>Union Budget 2025-2026 Gross Market Borrowings</t>
  </si>
  <si>
    <t>The government plans to borrow â‚¹14.82 lakh crore from the market in the fiscal year 2025-2026 to finance its expenditure.</t>
  </si>
  <si>
    <t>{affects": "- Investors and financial institutions have opportunities to invest in government securities.\n- Proper management of borrowings can lead to stable interest rates</t>
  </si>
  <si>
    <t xml:space="preserve"> affecting loans and savings for the general public.\n- Ensures funding for infrastructure projects</t>
  </si>
  <si>
    <t>Union Budget 2025-2026 Capital Expenditure Allocation</t>
  </si>
  <si>
    <t>The government has allocated â‚¹11.21 lakh crore for capital expenditure in the fiscal year 2025-2026, constituting 3.1% of the GDP.</t>
  </si>
  <si>
    <t>{affects": "- Citizens may experience better infrastructure</t>
  </si>
  <si>
    <t xml:space="preserve"> leading to improved quality of life.\n- Job opportunities may increase due to new projects and developments.\n- Businesses could benefit from enhanced logistics and facilities</t>
  </si>
  <si>
    <t>Farmers, Rural Communities</t>
  </si>
  <si>
    <t>Prime Minister Dhan-Dhaanya Krishi Yojana - Developing Agri Districts Programme</t>
  </si>
  <si>
    <t>A new initiative targeting 100 districts with low agricultural productivity to enhance farming practices and support 1.7 crore farmers.</t>
  </si>
  <si>
    <t>{affects": "- Farmers in the selected districts will receive better resources and support.\n- Increased crop yields and diversified farming can lead to higher incomes.\n- Improved storage and irrigation facilities will reduce post-harvest losses and enhance crop quality."</t>
  </si>
  <si>
    <t xml:space="preserve"> "explanation": "- The programme aims to improve agricultural productivity in 100 identified districts.\n- It focuses on adopting crop diversification and sustainable farming practices.\n- Enhances post-harvest storage at the panchayat and block levels.\n- Improves irrigation facilities and provides access to both long-term and short-term credit for farmers."}"</t>
  </si>
  <si>
    <t>Building Rural Prosperity and Resilience</t>
  </si>
  <si>
    <t>A comprehensive initiative aimed at enhancing agricultural productivity, promoting sustainable farming practices, and improving rural infrastructure to boost the rural economy and livelihoods.</t>
  </si>
  <si>
    <t>{affects": "- Farmers will benefit from increased productivity and income. \n- Rural communities will experience improved infrastructure and services. \n- The overall economy may see growth due to enhanced rural demand and reduced urban-rural disparities."</t>
  </si>
  <si>
    <t xml:space="preserve"> "explanation": "- The initiative focuses on: \n  1. Enhancing agricultural productivity through modern techniques and high-yield seeds. \n  2. Promoting crop diversification and sustainable agriculture to ensure environmental balance. \n  3. Improving post-harvest infrastructure</t>
  </si>
  <si>
    <t>Farmers, General Public</t>
  </si>
  <si>
    <t>Mission for Aatmanirbharta in Pulses</t>
  </si>
  <si>
    <t>A six-year mission aimed at achieving self-reliance in pulses production, focusing on key varieties such as Tur, Urad, and Masoor.</t>
  </si>
  <si>
    <t>{affects": "- Farmers will benefit from assured procurement and remunerative prices</t>
  </si>
  <si>
    <t xml:space="preserve"> leading to increased income stability.\n- Consumers can expect a more stable supply of pulses</t>
  </si>
  <si>
    <t>Agribusiness Entrepreneurs, Farmers</t>
  </si>
  <si>
    <t>Comprehensive Programme for Vegetables &amp; Fruits</t>
  </si>
  <si>
    <t>A nationwide initiative to enhance the production, supply chain efficiency, processing capabilities, and ensure fair prices for farmers engaged in cultivating vegetables and fruits.</t>
  </si>
  <si>
    <t>{affects": "- Farmers: Access to better infrastructure</t>
  </si>
  <si>
    <t xml:space="preserve"> training</t>
  </si>
  <si>
    <t>Bihar</t>
  </si>
  <si>
    <t>Makhana Board in Bihar</t>
  </si>
  <si>
    <t>Establishment of a dedicated board to enhance the production, processing, value addition, and marketing of makhana in Bihar.</t>
  </si>
  <si>
    <t>{affects": "- Makhana farmers in Bihar will receive support to enhance their production and income.\n- The local economy is expected to benefit from increased makhana-related activities.\n- Consumers may have access to better quality and a wider variety of makhana products."</t>
  </si>
  <si>
    <t xml:space="preserve"> "explanation": "- Makhana</t>
  </si>
  <si>
    <t>Agricultural Scientists, Farmers</t>
  </si>
  <si>
    <t>National Mission on High Yielding Seeds</t>
  </si>
  <si>
    <t>A mission aimed at strengthening the research ecosystem and promoting the development and distribution of high-yielding, pest-resistant, and climate-resilient seed varieties.</t>
  </si>
  <si>
    <t>{affects": "- Farmers will have access to better seed varieties</t>
  </si>
  <si>
    <t xml:space="preserve"> leading to increased crop yields and income. \n- The agricultural sector will benefit from improved resilience against pests and climate challenges. \n- Consumers may experience more stable food prices due to enhanced crop production."</t>
  </si>
  <si>
    <t>Fishermen</t>
  </si>
  <si>
    <t>Fisheries Development Initiative</t>
  </si>
  <si>
    <t>A comprehensive program aimed at unlocking the untapped potential of India's marine sector, enhancing seafood exports, and supporting the livelihoods of those involved in fisheries.</t>
  </si>
  <si>
    <t>{affects": "- Fishermen and fish farmers will benefit from improved infrastructure</t>
  </si>
  <si>
    <t xml:space="preserve"> access to modern technology</t>
  </si>
  <si>
    <t>Exporters, Farmers, Textile Manufacturers</t>
  </si>
  <si>
    <t>Mission for Cotton Productivity</t>
  </si>
  <si>
    <t>A 5-year mission to enhance cotton productivity and sustainability, focusing on promoting extra-long staple cotton varieties and strengthening the textile value chain.</t>
  </si>
  <si>
    <t>{affects": "- Farmers gain access to better seeds and improved cultivation techniques.\n- Textile manufacturers benefit from higher-quality cotton.\n- Exporters and the economy gain from a strengthened textile sector."</t>
  </si>
  <si>
    <t xml:space="preserve"> "explanation": "- A long-term initiative to boost cotton yield and improve sustainability.\n- Focus on extra-long staple cotton to enhance quality.\n- Support through scientific advancements and modern farming techniques.\n- Aligns with the 5F principle: Farm to Fibre to Factory to Fashion to Foreign."}"</t>
  </si>
  <si>
    <t>Dairy Farmers, Farmers, Fishermen</t>
  </si>
  <si>
    <t>Enhanced Credit through Kisan Credit Card (KCC)</t>
  </si>
  <si>
    <t>The government has increased the loan limit under the Modified Interest Subvention Scheme from â‚¹3 lakh to â‚¹5 lakh for loans taken through the KCC, benefiting farmers, fishermen, and dairy farmers.</t>
  </si>
  <si>
    <t>{affects": "- Farmers</t>
  </si>
  <si>
    <t xml:space="preserve"> fishermen</t>
  </si>
  <si>
    <t>Assam</t>
  </si>
  <si>
    <t>Agribusiness Entrepreneurs, Farmers, Industrial Workers</t>
  </si>
  <si>
    <t>Urea Plant in Assam</t>
  </si>
  <si>
    <t>Establishment of a urea plant with an annual capacity of 12.7 lakh metric tons at Namrup, Assam, to enhance domestic urea production and achieve self-reliance.</t>
  </si>
  <si>
    <t>{affects": "- Farmers in Assam and neighboring regions will benefit from improved access to urea</t>
  </si>
  <si>
    <t xml:space="preserve"> leading to enhanced crop yields.\n- The initiative is expected to boost the local economy through job creation and infrastructure development.\n- Nationally</t>
  </si>
  <si>
    <t>Entrepreneurs, Small Business Owners</t>
  </si>
  <si>
    <t>Revision in Classification Criteria for MSMEs</t>
  </si>
  <si>
    <t>Enhancement of investment and turnover limits for MSME classification to 2.5 and 2 times respectively, aiming to boost efficiency, technological advancement, and capital access.</t>
  </si>
  <si>
    <t>{affects": "- MSMEs will find it easier to expand and innovate due to relaxed classification thresholds.\n- Enhanced access to credit and government schemes tailored for MSMEs.\n- Potential for increased employment opportunities and economic growth in the MSME sector."</t>
  </si>
  <si>
    <t xml:space="preserve"> "explanation": "- The government has revised the criteria for classifying Micro</t>
  </si>
  <si>
    <t>Credit Cards for Micro Enterprises</t>
  </si>
  <si>
    <t>Introduction of customized Credit Cards with a â‚¹5 lakh limit for micro enterprises registered on the Udyam portal, aiming to enhance financial accessibility and operational efficiency.</t>
  </si>
  <si>
    <t>{affects": "- Micro enterprise owners will benefit from improved access to formal credit</t>
  </si>
  <si>
    <t xml:space="preserve"> enabling them to manage operational expenses more effectively.\n- The initiative is expected to reduce reliance on informal lending sources</t>
  </si>
  <si>
    <t>Fund of Funds for Startups (FFS)</t>
  </si>
  <si>
    <t>The government has established the Fund of Funds for Startups (FFS) with a corpus of â‚¹10,000 crore to provide financial support to startups through Alternative Investment Funds (AIFs).</t>
  </si>
  <si>
    <t>{affects": "- Startups across various sectors receive financial support</t>
  </si>
  <si>
    <t xml:space="preserve"> enabling them to scale operations and innovate.\n- The startup ecosystem benefits from increased investment</t>
  </si>
  <si>
    <t>Scheme for First-time Entrepreneurs</t>
  </si>
  <si>
    <t>A new scheme to provide term loans up to â‚¹2 crore over the next 5 years to 5 lakh first-time entrepreneurs, including women and individuals from Scheduled Castes and Scheduled Tribes.</t>
  </si>
  <si>
    <t>{affects": "- Aspiring entrepreneurs will have improved access to financial resources</t>
  </si>
  <si>
    <t xml:space="preserve"> enabling them to start and scale their businesses.\n- The initiative is expected to stimulate economic development by encouraging the establishment of new enterprises across various sectors."</t>
  </si>
  <si>
    <t>Exporters, Manufacturers</t>
  </si>
  <si>
    <t>Focus Product Scheme for Footwear &amp; Leather Sectors</t>
  </si>
  <si>
    <t>A scheme aimed at enhancing productivity, quality, and competitiveness in India's footwear and leather sectors by supporting design capacity, component manufacturing, and machinery for both leather and non-leather products.</t>
  </si>
  <si>
    <t>{affects": "- Entrepreneurs and businesses in the footwear and leather sectors will benefit from increased support for design and manufacturing capabilities.\n- The initiative is expected to create approximately 2.2 million jobs</t>
  </si>
  <si>
    <t xml:space="preserve"> providing significant employment opportunities.\n- With a projected turnover of â‚¹4 lakh crore and exports exceeding â‚¹1.1 lakh crore</t>
  </si>
  <si>
    <t>Measures for the Toy Sector</t>
  </si>
  <si>
    <t>A scheme aimed at making India a global hub for toy manufacturing by developing clusters, enhancing skills, and creating a robust manufacturing ecosystem for high-quality, innovative, and sustainable toys.</t>
  </si>
  <si>
    <t>{affects": "- Entrepreneurs and businesses in the toy manufacturing sector will benefit from increased support and infrastructure development.\n- The initiative is expected to generate significant employment opportunities within the industry.\n- Consumers will have access to a diverse range of high-quality and innovative toys</t>
  </si>
  <si>
    <t xml:space="preserve"> reflecting Indian culture and values."</t>
  </si>
  <si>
    <t>Entrepreneurs, Farmers, Students</t>
  </si>
  <si>
    <t>Support for Food Processing</t>
  </si>
  <si>
    <t>Establishment of a National Institute of Food Technology, Entrepreneurship, and Management in Bihar to enhance food processing capabilities, promote entrepreneurship, and provide advanced training and research opportunities in the sector.</t>
  </si>
  <si>
    <t>{affects": "- Entrepreneurs and businesses in the food processing industry will benefit from access to advanced training and research facilities.\n- The initiative is expected to generate employment opportunities</t>
  </si>
  <si>
    <t xml:space="preserve"> contributing to economic growth in the region.\n- Farmers may experience increased demand for their produce</t>
  </si>
  <si>
    <t>Manufacturers</t>
  </si>
  <si>
    <t>Manufacturing Mission - Furthering Make in India""</t>
  </si>
  <si>
    <t>A National Manufacturing Mission aimed at providing policy support, execution roadmaps, and a governance framework to enhance the manufacturing sector across small, medium, and large industries, thereby promoting the Make in India" initiative."</t>
  </si>
  <si>
    <t>{affects": "- Entrepreneurs and businesses across various manufacturing sectors will benefit from streamlined policies and support mechanisms.\n- The initiative is expected to generate employment opportunities</t>
  </si>
  <si>
    <t xml:space="preserve"> contributing to economic growth and development.\n- Consumers may experience increased availability of domestically produced goods</t>
  </si>
  <si>
    <t>General Public, Students, Workforce</t>
  </si>
  <si>
    <t>Investing in People</t>
  </si>
  <si>
    <t>A key pillar of Indiaâ€™s development strategy that focuses on enhancing human capital through quality education, improved healthcare, and robust skill development initiatives.</t>
  </si>
  <si>
    <t>{affects": "- Students</t>
  </si>
  <si>
    <t xml:space="preserve"> job seekers</t>
  </si>
  <si>
    <t>Children, Adults</t>
  </si>
  <si>
    <t>Children, Community Workers, Women</t>
  </si>
  <si>
    <t>Saksham Anganwadi and Poshan 2.0</t>
  </si>
  <si>
    <t>An initiative aimed at strengthening Anganwadi centers by integrating them with the Poshan 2.0 framework to improve nutritional outcomes for mothers and young children.</t>
  </si>
  <si>
    <t>{affects": "- Pregnant women</t>
  </si>
  <si>
    <t xml:space="preserve"> lactating mothers</t>
  </si>
  <si>
    <t>Educators, Students</t>
  </si>
  <si>
    <t>Atal Tinkering Labs</t>
  </si>
  <si>
    <t>A government initiative under the Atal Innovation Mission to set up innovation labs in schools, fostering creativity, scientific thinking, and problem-solving skills among students.</t>
  </si>
  <si>
    <t>{affects": "- Students gain practical exposure to science and technology</t>
  </si>
  <si>
    <t xml:space="preserve"> enhancing their learning and creativity.\n- Educators receive additional resources and training to foster an innovative teaching environment."</t>
  </si>
  <si>
    <t>Educators, Healthcare Workers, Students</t>
  </si>
  <si>
    <t>Broadband Connectivity to Government Secondary Schools and PHCs</t>
  </si>
  <si>
    <t>An initiative to provide high-speed broadband connectivity to government secondary schools and Primary Health Centres (PHCs) to support digital education and improved healthcare service delivery.</t>
  </si>
  <si>
    <t>{affects": "- Students and educators benefit from access to online educational resources and digital learning tools.\n- Healthcare providers can utilize digital technologies to improve patient care and health management."</t>
  </si>
  <si>
    <t xml:space="preserve"> "explanation": "- This feature ensures that schools and health centres are equipped with reliable broadband as part of the Digital India initiative.\n- Enhanced connectivity supports digital classrooms and telemedicine</t>
  </si>
  <si>
    <t>Authors, General Public, Publishers</t>
  </si>
  <si>
    <t>Bharatiya Bhasha Pustak Scheme</t>
  </si>
  <si>
    <t>A government initiative to promote literature in Indian languages by supporting the publication and wider dissemination of books in regional languages.</t>
  </si>
  <si>
    <t>{affects": "- Authors and publishers benefit from targeted support to produce and distribute regional language books.\n- Readers across the country gain improved access to a wide range of literary works in their native languages."</t>
  </si>
  <si>
    <t xml:space="preserve"> "explanation": "- This scheme is designed to preserve and promote Indiaâ€™s rich linguistic heritage by financially and logistically supporting publishers and authors working in regional languages.\n- It aims to enhance access to quality literature that reflects Indiaâ€™s diverse cultural traditions."}"</t>
  </si>
  <si>
    <t>Industry Professionals, Job Seekers, Workers</t>
  </si>
  <si>
    <t>National Centres of Excellence for Skilling</t>
  </si>
  <si>
    <t>An initiative to establish centers of excellence that provide advanced and industry-relevant skill development training across various sectors, supporting the governmentâ€™s Skill India mission.</t>
  </si>
  <si>
    <t>{affects": "- Job seekers and existing workers benefit from high-quality skill development</t>
  </si>
  <si>
    <t xml:space="preserve"> increasing their employability and career advancement prospects.\n- Industries receive a more skilled workforce</t>
  </si>
  <si>
    <t>Researchers, Students</t>
  </si>
  <si>
    <t>Expansion of Capacity in IITs</t>
  </si>
  <si>
    <t>An initiative to expand the capacity of Indian Institutes of Technology (IITs) by increasing seats, enhancing infrastructure, and upgrading research facilities to meet growing demand and maintain global standards in technical education.</t>
  </si>
  <si>
    <t>{affects": "- Prospective and current students benefit from more opportunities to access world-class technical education.\n- Researchers and industry stakeholders may experience enhanced collaboration and innovation due to improved academic facilities."</t>
  </si>
  <si>
    <t xml:space="preserve"> "explanation": "- The government plans to boost the capacity of IITs by expanding infrastructure</t>
  </si>
  <si>
    <t>Centre of Excellence in AI for Education</t>
  </si>
  <si>
    <t>A government initiative to establish a Centre of Excellence focused on integrating Artificial Intelligence (AI) into the education sector to enhance teaching, learning, and policy-making.</t>
  </si>
  <si>
    <t>{affects": "- Educators and students gain access to innovative teaching tools and digital resources that can personalize learning experiences.\n- Policymakers can utilize data and insights from AI research to better design education reforms."</t>
  </si>
  <si>
    <t xml:space="preserve"> "explanation": "- This centre will explore and deploy AI technologies in education to improve learning outcomes</t>
  </si>
  <si>
    <t>Healthcare Workers, Students</t>
  </si>
  <si>
    <t>Expansion of Medical Education</t>
  </si>
  <si>
    <t>An initiative to broaden the scope of medical education by establishing new institutions, increasing seat availability, and modernizing infrastructure to meet contemporary healthcare needs.</t>
  </si>
  <si>
    <t>{affects": "- Aspiring medical students benefit from increased opportunities to pursue medical education.\n- The healthcare system gains from a better-qualified workforce</t>
  </si>
  <si>
    <t xml:space="preserve"> which can lead to improved healthcare services and outcomes."</t>
  </si>
  <si>
    <t>Day Care Cancer Centres in all District Hospitals</t>
  </si>
  <si>
    <t>A government initiative to set up specialized Day Care Cancer Centres in every district hospital, offering accessible and affordable cancer diagnosis, treatment, and palliative care services.</t>
  </si>
  <si>
    <t>{affects": "- Cancer patients and their families benefit from reduced travel and waiting times</t>
  </si>
  <si>
    <t xml:space="preserve"> as well as improved access to specialized care.\n- Local healthcare providers are equipped to deliver focused cancer treatment</t>
  </si>
  <si>
    <t>Urban Areas</t>
  </si>
  <si>
    <t>Strengthening Urban Livelihoods</t>
  </si>
  <si>
    <t>A comprehensive initiative aimed at enhancing the economic and social well-being of urban populations through skill development, entrepreneurship support, and improved urban infrastructure.</t>
  </si>
  <si>
    <t>{affects": "- Urban workers</t>
  </si>
  <si>
    <t xml:space="preserve"> especially those in low-income groups</t>
  </si>
  <si>
    <t>Low-Income Individuals</t>
  </si>
  <si>
    <t>PM SVANidhi</t>
  </si>
  <si>
    <t>A scheme aimed at providing affordable working capital loans to street vendors to help sustain and expand their businesses, thereby supporting the informal sector.</t>
  </si>
  <si>
    <t>{affects": "- Street vendors can access funds more easily</t>
  </si>
  <si>
    <t xml:space="preserve"> which helps them keep their businesses running smoothly.\n- The financial support helps improve the quality of services and products offered by vendors.\n- It strengthens the overall informal sector by reducing the financial challenges faced by small business owners.\n- Over time</t>
  </si>
  <si>
    <t>Social Security Scheme for Welfare of Online Platform Workers</t>
  </si>
  <si>
    <t>A scheme designed to extend social security benefitsâ€”including health insurance, accident coverage, and pension schemesâ€”to workers in the online platform and gig economy.</t>
  </si>
  <si>
    <t>{affects": "- Workers engaged in the gig economy</t>
  </si>
  <si>
    <t xml:space="preserve"> such as delivery personnel</t>
  </si>
  <si>
    <t>General Public, Investors</t>
  </si>
  <si>
    <t>Public Private Partnership in Infrastructure</t>
  </si>
  <si>
    <t>A government initiative to leverage public-private partnerships (PPP) for developing and maintaining key infrastructure projects.</t>
  </si>
  <si>
    <t>{affects": "- Accelerates infrastructure development and modernization.\n- Offers investment opportunities for private firms.\n- Optimizes the use of public funds and resources.\n- Enhances public access to quality infrastructure."</t>
  </si>
  <si>
    <t xml:space="preserve"> "explanation": "- Promotes collaboration between the government and private sector for infrastructure development.\n- Focuses on risk-sharing</t>
  </si>
  <si>
    <t>Support to States for Infrastructure</t>
  </si>
  <si>
    <t>A dedicated scheme providing financial and technical support to state governments for upgrading and developing critical infrastructure.</t>
  </si>
  <si>
    <t>{affects": "- Enhances state capacity to implement large-scale projects.\n- Improves local public services and connectivity.\n- Stimulates regional economic growth.\n- Attracts further private and institutional investments."</t>
  </si>
  <si>
    <t xml:space="preserve"> "explanation": "- Allocates targeted funds to state governments for key infrastructure projects.\n- Provides technical assistance and capacity building in line with official guidelines.\n- Focuses on transportation</t>
  </si>
  <si>
    <t>Asset Monetization Plan 2025-30</t>
  </si>
  <si>
    <t>A strategic initiative to unlock the value of public assets by monetizing them, thereby generating additional revenue for the government.</t>
  </si>
  <si>
    <t>{affects": "- Provides the government with new funds that can be reinvested in critical infrastructure and social projects.\n- Opens up opportunities for private investors to participate in or benefit from these assets.\n- Improves overall financial management by diversifying the sources of government revenue.\n- Helps support long-term economic growth by funding future public investments."</t>
  </si>
  <si>
    <t xml:space="preserve"> "explanation": "- This plan looks at government-owned properties such as land</t>
  </si>
  <si>
    <t>Jal Jeevan Mission</t>
  </si>
  <si>
    <t>A flagship initiative aimed at providing safe and adequate drinking water to every rural household through individual household tap connections.</t>
  </si>
  <si>
    <t>{affects": "- Improves health and hygiene in rural communities.\n- Reduces waterborne diseases through reliable water access.\n- Enhances the quality of life in rural areas.\n- Strengthens overall rural infrastructure and development."</t>
  </si>
  <si>
    <t xml:space="preserve"> "explanation": "- Ensures the creation of sustainable water infrastructure in rural areas.\n- Guarantees potable water supply to every household as per Ministry of Jal Shakti guidelines.\n- Utilizes technology for water quality monitoring and efficient management.\n- Integrates with broader rural development and health improvement strategies."}"</t>
  </si>
  <si>
    <t>Innovators</t>
  </si>
  <si>
    <t>Urban Challenge Fund</t>
  </si>
  <si>
    <t>A competitive grant scheme designed to encourage innovative solutions for addressing urban challenges in Indian cities.</t>
  </si>
  <si>
    <t>{affects": "- Enhances urban public services and infrastructure.\n- Empowers local governments to implement creative solutions.\n- Improves the quality of urban life for residents.\n- Drives sustainable economic growth in urban areas."</t>
  </si>
  <si>
    <t xml:space="preserve"> "explanation": "- Provides financial support for innovative projects addressing urban issues like waste management and mobility.\n- Encourages sustainable and inclusive solutions as outlined in official urban development policies.\n- Utilizes a competitive selection process to fund projects with measurable impact.\n- Focuses on modernizing urban infrastructure and services."}"</t>
  </si>
  <si>
    <t>Nuclear Energy Mission for Viksit Bharat</t>
  </si>
  <si>
    <t>A mission aimed at expanding Indiaâ€™s nuclear power capacity and enhancing energy security as part of the broader strategy for a developed Bharat.</t>
  </si>
  <si>
    <t>{affects": "- Provides a stable and diversified energy supply for industrial and residential use.\n- Benefits the energy sector with opportunities for innovation and job creation.\n- Contributes to long-term economic stability by reducing import dependency.\n- Enhances national security through a robust energy infrastructure."</t>
  </si>
  <si>
    <t xml:space="preserve"> "explanation": "- Expands nuclear power capacity to diversify Indiaâ€™s energy mix.\n- Focuses on advanced reactor technology and stringent safety measures.\n- Aligns with official plans to reduce carbon emissions and dependence on fossil fuels.\n- Seeks to enhance energy security and support sustainable development."}"</t>
  </si>
  <si>
    <t>Shipbuilding</t>
  </si>
  <si>
    <t>An initiative to bolster domestic shipbuilding capabilities under the â€œMake in Indiaâ€ framework, focusing on both defense and commercial sectors.</t>
  </si>
  <si>
    <t>{affects": "- Strengthens national security through enhanced indigenous warship production.\n- Creates employment opportunities and skill development in maritime engineering.\n- Boosts local industries and coastal economic growth.\n- Improves Indiaâ€™s competitiveness in global maritime trade."</t>
  </si>
  <si>
    <t xml:space="preserve"> "explanation": "- Increases domestic production capacity for both commercial and defense vessels.\n- Promotes technology transfer and modernization of shipbuilding practices.\n- Encourages public-private partnerships for efficient project execution.\n- Aims to reduce import dependency and boost export potential."}"</t>
  </si>
  <si>
    <t>Investors</t>
  </si>
  <si>
    <t>Maritime Development Fund</t>
  </si>
  <si>
    <t>A dedicated fund established to finance maritime infrastructure and port modernization projects, supporting the growth of Indiaâ€™s maritime trade.</t>
  </si>
  <si>
    <t>{affects": "- Improves efficiency and competitiveness of Indiaâ€™s ports and logistics.\n- Benefits shipping companies and local businesses with enhanced infrastructure.\n- Stimulates regional economic development in coastal areas.\n- Creates job opportunities in the maritime and logistics sectors."</t>
  </si>
  <si>
    <t xml:space="preserve"> "explanation": "- Provides financial support for port upgrades and maritime infrastructure projects.\n- Encourages public-private partnerships to enhance operational efficiency.\n- Focuses on modernizing logistics and connectivity for maritime trade.\n- Follows guidelines issued by relevant government authorities."}"</t>
  </si>
  <si>
    <t>UDAN - Regional Connectivity Scheme</t>
  </si>
  <si>
    <t>A flagship initiative aimed at enhancing regional air connectivity by subsidizing flights to underserved regions, thereby boosting regional development.</t>
  </si>
  <si>
    <t>{affects": "- Reduces travel costs and increases mobility for regional populations.\n- Stimulates local business</t>
  </si>
  <si>
    <t xml:space="preserve"> tourism</t>
  </si>
  <si>
    <t>Greenfield Airport in Bihar</t>
  </si>
  <si>
    <t>A project to establish a modern greenfield airport in Bihar, aimed at improving regional air connectivity and supporting local economic development.</t>
  </si>
  <si>
    <t>{affects": "- Enhances travel options and reduces transit times for Bihar residents.\n- Drives regional economic growth through improved logistics and tourism.\n- Creates job opportunities in construction</t>
  </si>
  <si>
    <t xml:space="preserve"> aviation</t>
  </si>
  <si>
    <t>Mithilanchal</t>
  </si>
  <si>
    <t>Farmers</t>
  </si>
  <si>
    <t>Western Koshi Canal Project in Mithilanchal</t>
  </si>
  <si>
    <t>A major water resources development project aimed at enhancing irrigation, flood control, and water supply in the Mithilanchal region.</t>
  </si>
  <si>
    <t>{affects": "- Benefits local farmers through improved irrigation infrastructure.\n- Reduces flood risks and associated damages.\n- Boosts agricultural productivity and food security.\n- Supports sustainable water management in the region."</t>
  </si>
  <si>
    <t xml:space="preserve"> "explanation": "- Optimizes water management by channeling Western Koshi flows.\n- Enhances irrigation potential to improve agricultural productivity.\n- Incorporates flood mitigation measures to protect vulnerable communities.\n- Aligns with national water resource development policies."}"</t>
  </si>
  <si>
    <t>Investors, Job Seekers, Mining Companies</t>
  </si>
  <si>
    <t>Mining Sector Reforms</t>
  </si>
  <si>
    <t>A series of policy measures aimed at modernizing the mining sector to promote sustainable development, transparency, and increased revenue.</t>
  </si>
  <si>
    <t>{affects": "- Provides a clearer framework for investors and mining companies.\n- Improves employment prospects in the mining and ancillary sectors.\n- Ensures environmental protection alongside economic growth.\n- Contributes to sustainable resource management."</t>
  </si>
  <si>
    <t xml:space="preserve"> "explanation": "- Streamlines regulatory procedures to ensure transparency in mining operations.\n- Encourages sustainable and responsible mining practices.\n- Promotes modernization and technological upgrades in the sector.\n- Aims to enhance revenue generation while safeguarding environmental interests."}"</t>
  </si>
  <si>
    <t>Entrepreneurs, Investors, Job Seekers, Small Business Owners</t>
  </si>
  <si>
    <t>SWAMIH Fund 2</t>
  </si>
  <si>
    <t>A government fund designed to support the modernization and expansion of small and micro enterprises through targeted financial assistance and capacity building.</t>
  </si>
  <si>
    <t>{affects": "- Enhances access to finance for small and micro enterprises.\n- Drives technological and operational upgrades.\n- Creates employment opportunities and fosters economic growth.\n- Strengthens the competitiveness of domestic enterprises."</t>
  </si>
  <si>
    <t xml:space="preserve"> "explanation": "- Represents the second phase of the SWAMIH initiative for small enterprises.\n- Provides financial support for technology adoption and modernization.\n- Focuses on capacity building and market access improvement.\n- Implements transparent fund allocation processes as per official guidelines."}"</t>
  </si>
  <si>
    <t>Job Seekers, Tourism Entrepreneurs</t>
  </si>
  <si>
    <t>Tourism for Employment-Led Growth</t>
  </si>
  <si>
    <t>A government initiative aimed at developing tourism infrastructure and services to generate employment and spur local economic growth.</t>
  </si>
  <si>
    <t>{affects": "- Generates direct and indirect employment in tourism and hospitality.\n- Increases local economic activity through higher tourist inflows.\n- Provides training and skill development for the local workforce.\n- Enhances the cultural and tourism profile of the region."</t>
  </si>
  <si>
    <t xml:space="preserve"> "explanation": "- Focuses on enhancing tourism infrastructure and promoting local tourism initiatives.\n- Emphasizes skill development and capacity building in the tourism sector.\n- Promotes sustainable tourism practices in line with official policies.\n- Integrates tourism development with local economic growth strategies."}"</t>
  </si>
  <si>
    <t>Entrepreneurs, Innovators, Researchers</t>
  </si>
  <si>
    <t>Research, Development and Innovation</t>
  </si>
  <si>
    <t>A comprehensive initiative aimed at strengthening the nationâ€™s R&amp;D and innovation ecosystem across sectors to drive technological and economic progress.</t>
  </si>
  <si>
    <t>{affects": "- Empowers researchers and innovators with advanced resources.\n- Accelerates commercialization of new technologies.\n- Boosts economic growth by fostering innovation-driven industries.\n- Enhances Indiaâ€™s competitiveness in global research."</t>
  </si>
  <si>
    <t xml:space="preserve"> "explanation": "- Encourages collaboration between academia</t>
  </si>
  <si>
    <t>Investors, Technologists</t>
  </si>
  <si>
    <t>Deep Tech Fund of Funds</t>
  </si>
  <si>
    <t>A dedicated financial initiative designed to channel investments into deep technology startups that work on cutting-edge innovations in areas such as AI, quantum computing, and biotechnology.</t>
  </si>
  <si>
    <t>{affects": "- Helps startups scale up and refine their innovations.\n- Attracts private sector participation in high-tech research.\n- Supports job creation in advanced technology sectors.\n- Enhances Indiaâ€™s reputation as a hub for deep technology innovation."</t>
  </si>
  <si>
    <t xml:space="preserve"> "explanation": "- Provides capital support to emerging deep tech ventures.\n- Encourages investments in breakthrough technological areas through a fund-of-funds model.\n- Facilitates technology transfer and commercialization processes.\n- Follows official guidelines to ensure transparent fund allocation."}"</t>
  </si>
  <si>
    <t>Researchers</t>
  </si>
  <si>
    <t>PM Research Fellowship</t>
  </si>
  <si>
    <t>A fellowship program aimed at nurturing early-career researchers by providing financial assistance, mentorship, and the opportunity to work on high-impact research projects aligned with national priorities.</t>
  </si>
  <si>
    <t>{affects": "- Enables emerging researchers to pursue ambitious projects.\n- Strengthens academic-industry collaborations.\n- Contributes to technological advancements and knowledge creation.\n- Enhances Indiaâ€™s global research standing."</t>
  </si>
  <si>
    <t xml:space="preserve"> "explanation": "- Offers financial grants and research support to promising young scientists.\n- Provides mentorship from leading experts across various fields.\n- Encourages innovative research projects that address national challenges.\n- Aligns with the governmentâ€™s agenda for research-led development."}"</t>
  </si>
  <si>
    <t>Farmers, Researchers</t>
  </si>
  <si>
    <t>Gene Bank for Crops Germplasm</t>
  </si>
  <si>
    <t>An initiative focused on preserving the genetic diversity of crops by cataloging and safeguarding germplasm, which is crucial for agricultural innovation and food security.</t>
  </si>
  <si>
    <t>{affects": "- Provides farmers with access to diverse crop varieties that can lead to better yields and disease resistance.\n- Enables researchers to develop improved crops that can thrive in different environmental conditions.\n- Supports food security by ensuring a continuous supply of essential crop varieties.\n- Promotes sustainable agriculture through the preservation of important genetic resources."</t>
  </si>
  <si>
    <t xml:space="preserve"> "explanation": "- Works like a library for crop seeds and genetic material</t>
  </si>
  <si>
    <t>Researchers, Technologists</t>
  </si>
  <si>
    <t>National Geospatial Mission</t>
  </si>
  <si>
    <t>A government initiative to create a comprehensive geospatial data infrastructure, supporting enhanced planning, governance, and innovation across various sectors.</t>
  </si>
  <si>
    <t>{affects": "- Gives policymakers and planners the tools to make informed decisions about city planning and resource allocation.\n- Improves public safety by enabling faster and more coordinated responses during disasters.\n- Boosts innovation in technology</t>
  </si>
  <si>
    <t xml:space="preserve"> as accurate maps are essential for apps and services like navigation and location-based services.\n- Enhances overall governance by using reliable</t>
  </si>
  <si>
    <t>Gyan Bharatam Mission</t>
  </si>
  <si>
    <t>A mission aimed at promoting knowledge dissemination and digital literacy by fostering innovative learning solutions, ultimately contributing to a knowledge-based economy.</t>
  </si>
  <si>
    <t>{affects": "- Empowers students and educators with modern digital tools.\n- Improves learning outcomes and academic performance.\n- Facilitates continuous skill enhancement and lifelong learning.\n- Contributes to building a competitive</t>
  </si>
  <si>
    <t xml:space="preserve"> knowledge-driven economy."</t>
  </si>
  <si>
    <t>Exporters</t>
  </si>
  <si>
    <t>Export Promotion Mission</t>
  </si>
  <si>
    <t>A strategic initiative to boost Indiaâ€™s export performance through policy support, market access facilitation, and targeted incentives for export-oriented industries.</t>
  </si>
  <si>
    <t>{affects": "- Increases export revenues and overall economic growth.\n- Enhances market access for SMEs and large exporters alike.\n- Creates job opportunities in export-oriented sectors.\n- Strengthens Indiaâ€™s trade balance by expanding global market outreach."</t>
  </si>
  <si>
    <t xml:space="preserve"> "explanation": "- Provides targeted incentives and financial support to exporters.\n- Focuses on diversifying export products and markets.\n- Encourages public-private partnerships for enhanced export promotion.\n- Aligns with government policies to strengthen Indiaâ€™s global trade presence."}"</t>
  </si>
  <si>
    <t>BharatTradeNet</t>
  </si>
  <si>
    <t>A digital trade platform initiative aimed at streamlining export procedures, providing real-time trade information, and facilitating seamless interactions between exporters and global buyers.</t>
  </si>
  <si>
    <t>{affects": "- Reduces administrative burdens and streamlines export procedures.\n- Improves communication between exporters and international buyers.\n- Increases competitiveness through timely access to trade data.\n- Facilitates a more efficient and transparent export ecosystem."</t>
  </si>
  <si>
    <t xml:space="preserve"> "explanation": "- Serves as a one-stop online platform for export documentation and trade information.\n- Integrates compliance processes and regulatory guidelines into a single interface.\n- Enhances transparency and efficiency in export transactions.\n- Supports exporters by simplifying access to market intelligence and trade resources."}"</t>
  </si>
  <si>
    <t>National Framework for GCC</t>
  </si>
  <si>
    <t>A structured initiative to align Indiaâ€™s export standards with global best practices, ensuring quality, compliance, and competitiveness in international markets.</t>
  </si>
  <si>
    <t>{affects": "- Increases trust in Indian products because they meet internationally recognized quality standards.\n- Opens up new markets for exporters</t>
  </si>
  <si>
    <t xml:space="preserve"> as buyers around the world feel more confident purchasing certified products.\n- Helps boost the reputation of Indian exports</t>
  </si>
  <si>
    <t>FDI in Insurance Sector</t>
  </si>
  <si>
    <t>A reform that allows more foreign direct investment in insurance companies, aiming to improve capital access, bring in global expertise, and enhance competition.</t>
  </si>
  <si>
    <t>{affects": "- Insurance companies receive better access to capital.\n- Consumers benefit from improved and innovative insurance products.\n- Enhances the overall stability and growth of the insurance sector.\n- Supports a more robust financial environment."</t>
  </si>
  <si>
    <t xml:space="preserve"> "explanation": "- Increases the allowed level of foreign investment in insurance firms.\n- Brings global expertise and advanced technology.\n- Aims to boost competition and efficiency in the insurance market.\n- Follows guidelines set by finance and insurance regulators."}"</t>
  </si>
  <si>
    <t>Banks, Borrowers, Policy Makers</t>
  </si>
  <si>
    <t>Credit Enhancement Facility by NaBFID</t>
  </si>
  <si>
    <t>A support initiative by NaBFID designed to offer extra guarantees to banks, making it safer for them to lend money.</t>
  </si>
  <si>
    <t>{affects": "- Banks can lend more confidently</t>
  </si>
  <si>
    <t xml:space="preserve"> increasing access to credit for individuals and businesses.\n- Borrowers may benefit from easier access to loans and potentially lower interest rates.\n- Contributes to overall financial stability by reducing risks in the banking sector.\n- Makes the lending process safer and more efficient for everyone involved."</t>
  </si>
  <si>
    <t>Low-Income Individuals, Policy Makers, Rural Population</t>
  </si>
  <si>
    <t>Grameen Credit Score</t>
  </si>
  <si>
    <t>A credit scoring system specially designed to assess the creditworthiness of rural and low-income individuals using alternative data sources.</t>
  </si>
  <si>
    <t>{affects": "- Helps rural and low-income individuals secure loans.\n- Promotes fairer and more transparent loan assessments.\n- Enhances financial inclusion in underserved areas.\n- Builds trust between banks and borrowers."</t>
  </si>
  <si>
    <t xml:space="preserve"> "explanation": "- Uses non-traditional data to generate a credit score for rural borrowers.\n- Aims to improve access to credit for low-income populations.\n- Follows official methods to fairly assess creditworthiness.\n- Supports government efforts to boost financial inclusion."}"</t>
  </si>
  <si>
    <t>Adults, Senior Citizens</t>
  </si>
  <si>
    <t>Policy Makers, Retirees, Working Population</t>
  </si>
  <si>
    <t>Pension Sector</t>
  </si>
  <si>
    <t>A series of reforms aimed at improving the pension system to provide secure, transparent, and adequate retirement benefits for citizens.</t>
  </si>
  <si>
    <t>{affects": "- Provides a more secure retirement income for the working population.\n- Improves transparency in the management of pension funds.\n- Offers better benefits to pensioners.\n- Contributes to overall financial stability for retirees."</t>
  </si>
  <si>
    <t xml:space="preserve"> "explanation": "- Focuses on better management and expansion of pension schemes.\n- Seeks to ensure secure and sufficient retirement income for workers.\n- Enhances transparency in pension fund operations.\n- Adheres to guidelines from pension regulatory authorities."}"</t>
  </si>
  <si>
    <t>Businesses, Investors, Policy Makers</t>
  </si>
  <si>
    <t>High Level Committee for Regulatory Reforms</t>
  </si>
  <si>
    <t>A government committee set up to review and recommend improvements in regulatory policies to create a simpler and more business-friendly environment.</t>
  </si>
  <si>
    <t>{affects": "- Simplifies compliance for businesses and investors.\n- Boosts confidence in the regulatory environment.\n- Leads to more efficient business operations.\n- Supports overall economic growth by reducing administrative burdens."</t>
  </si>
  <si>
    <t xml:space="preserve"> "explanation": "- Reviews current regulatory rules and identifies areas for simplification.\n- Aims to reduce bureaucratic hurdles for businesses.\n- Provides clear</t>
  </si>
  <si>
    <t>Investment Friendliness Index of States</t>
  </si>
  <si>
    <t>An index that ranks states based on their ease of doing business, infrastructure quality, and regulatory environment, helping to guide investment decisions.</t>
  </si>
  <si>
    <t>{affects": "- Guides investors toward states with better business conditions.\n- Encourages states to improve their investment climates.\n- Helps policymakers target necessary reforms.\n- Boosts healthy competition among states."</t>
  </si>
  <si>
    <t xml:space="preserve"> "explanation": "- Measures and compares states on ease of doing business and regulatory factors.\n- Evaluates infrastructure</t>
  </si>
  <si>
    <t>Businesses, General Public</t>
  </si>
  <si>
    <t>Jan Vishwas Bill 2.0</t>
  </si>
  <si>
    <t>A new law aimed at making it easier for people and businesses to follow government rules on taxes and other regulations, reducing the burden of paperwork and cost.</t>
  </si>
  <si>
    <t>{affects": "- Reduces the hassle and cost for businesses and individuals in dealing with government rules.\n- Makes it easier for everyone to understand and meet their tax and legal obligations.\n- Builds greater trust in how government rules are enforced.\n- Creates a more user-friendly environment for all citizens."</t>
  </si>
  <si>
    <t xml:space="preserve"> "explanation": "- This law makes it simpler for everyone to follow government rules (called compliance) when paying taxes and meeting other legal requirements.\n- It cuts down on the paperwork and costs that people and businesses usually face.\n- The law is designed to build trust by making the whole process clear and straightforward.\n- It is based on updated official guidelines to ensure that following government rules is less confusing and less expensive."}"</t>
  </si>
  <si>
    <t>Total Unique Professions Targeted</t>
  </si>
  <si>
    <t>Top-Impact Category</t>
  </si>
  <si>
    <t>Total Budget Features</t>
  </si>
  <si>
    <t>Select a budget feature to know more about it</t>
  </si>
  <si>
    <t>Select your profession &amp; then choose the associated feature</t>
  </si>
  <si>
    <t>Professions Affected Count</t>
  </si>
  <si>
    <t>Age Group</t>
  </si>
  <si>
    <t>Age Groups Affected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</si>
</sst>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Sylfaen"/>
    </font>
    <font>
      <b/>
      <sz val="11"/>
      <color theme="0"/>
      <name val="Sylfaen"/>
    </font>
    <font>
      <b/>
      <sz val="20"/>
      <color rgb="FF000000"/>
      <name val="Angsana New"/>
    </font>
    <font>
      <sz val="11"/>
      <color theme="1"/>
      <name val="Sylfaen"/>
    </font>
    <font>
      <b/>
      <sz val="20"/>
      <color theme="0"/>
      <name val="Angsana New"/>
    </font>
    <font>
      <b/>
      <sz val="20"/>
      <color rgb="FF000000"/>
      <name val="Angsana New"/>
      <charset val="1"/>
    </font>
    <font>
      <sz val="16"/>
      <color theme="0"/>
      <name val="Angsana New"/>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7DFF0"/>
        <bgColor indexed="64"/>
      </patternFill>
    </fill>
    <fill>
      <patternFill patternType="solid">
        <fgColor rgb="FF440187"/>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wrapText="1"/>
    </xf>
    <xf numFmtId="0" fontId="18" fillId="34" borderId="0" xfId="0" applyFont="1" applyFill="1" applyBorder="1"/>
    <xf numFmtId="0" fontId="18" fillId="34" borderId="0" xfId="0" applyFont="1" applyFill="1" applyBorder="1" applyAlignment="1">
      <alignment wrapText="1"/>
    </xf>
    <xf numFmtId="0" fontId="21" fillId="33" borderId="0" xfId="0" applyFont="1" applyFill="1" applyBorder="1" applyAlignment="1">
      <alignment wrapText="1"/>
    </xf>
    <xf numFmtId="0" fontId="21" fillId="34" borderId="0" xfId="0" applyFont="1" applyFill="1" applyBorder="1" applyAlignment="1">
      <alignment wrapText="1"/>
    </xf>
    <xf numFmtId="0" fontId="21" fillId="34" borderId="0" xfId="0" applyFont="1" applyFill="1" applyBorder="1"/>
    <xf numFmtId="0" fontId="19" fillId="34" borderId="12" xfId="0" applyFont="1" applyFill="1" applyBorder="1"/>
    <xf numFmtId="0" fontId="22" fillId="34" borderId="10" xfId="0" applyFont="1" applyFill="1" applyBorder="1" applyAlignment="1">
      <alignment horizontal="center" wrapText="1"/>
    </xf>
    <xf numFmtId="0" fontId="22" fillId="34" borderId="11" xfId="0" applyFont="1" applyFill="1" applyBorder="1" applyAlignment="1">
      <alignment horizontal="center"/>
    </xf>
    <xf numFmtId="0" fontId="22" fillId="34" borderId="11" xfId="0" applyFont="1" applyFill="1" applyBorder="1" applyAlignment="1">
      <alignment horizontal="center" wrapText="1"/>
    </xf>
    <xf numFmtId="0" fontId="20" fillId="0" borderId="0" xfId="0" applyFont="1" applyAlignment="1">
      <alignment horizontal="center" wrapText="1"/>
    </xf>
    <xf numFmtId="0" fontId="24" fillId="34" borderId="0" xfId="0" applyFont="1" applyFill="1" applyAlignment="1">
      <alignment horizontal="center"/>
    </xf>
    <xf numFmtId="0" fontId="24" fillId="34" borderId="0" xfId="0" applyFont="1" applyFill="1" applyAlignment="1">
      <alignment horizontal="center" wrapText="1"/>
    </xf>
    <xf numFmtId="0" fontId="21" fillId="33" borderId="0" xfId="0" applyFont="1" applyFill="1"/>
    <xf numFmtId="0" fontId="21" fillId="33" borderId="0" xfId="0" applyNumberFormat="1" applyFont="1" applyFill="1"/>
    <xf numFmtId="0" fontId="18" fillId="34" borderId="0" xfId="0" applyFont="1" applyFill="1" applyAlignment="1">
      <alignment horizontal="center"/>
    </xf>
    <xf numFmtId="0" fontId="20" fillId="0" borderId="0" xfId="0" applyFont="1" applyAlignment="1">
      <alignment horizontal="center"/>
    </xf>
    <xf numFmtId="0" fontId="0" fillId="0" borderId="0" xfId="0" applyAlignment="1">
      <alignment horizontal="center"/>
    </xf>
    <xf numFmtId="0" fontId="23"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border diagonalUp="0" diagonalDown="0">
        <left/>
        <right/>
        <top/>
        <bottom style="medium">
          <color rgb="FF000000"/>
        </bottom>
        <vertical/>
        <horizontal/>
      </border>
    </dxf>
    <dxf>
      <font>
        <name val="Sylfaen"/>
      </font>
      <fill>
        <patternFill patternType="solid">
          <fgColor indexed="64"/>
          <bgColor rgb="FFE7DFF0"/>
        </patternFill>
      </fill>
      <alignment horizontal="general" vertical="bottom" textRotation="0" wrapText="1" indent="0" justifyLastLine="0" shrinkToFit="0" readingOrder="0"/>
    </dxf>
    <dxf>
      <font>
        <name val="Sylfaen"/>
      </font>
      <fill>
        <patternFill patternType="solid">
          <fgColor indexed="64"/>
          <bgColor rgb="FFE7DFF0"/>
        </patternFill>
      </fill>
      <alignment horizontal="general" vertical="bottom" textRotation="0" wrapText="1" indent="0" justifyLastLine="0" shrinkToFit="0" readingOrder="0"/>
    </dxf>
    <dxf>
      <border>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Sylfaen"/>
        <scheme val="minor"/>
      </font>
      <fill>
        <patternFill patternType="solid">
          <fgColor indexed="64"/>
          <bgColor rgb="FFE7DFF0"/>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Sylfaen"/>
        <scheme val="none"/>
      </font>
      <fill>
        <patternFill patternType="solid">
          <fgColor indexed="64"/>
          <bgColor rgb="FF440187"/>
        </patternFill>
      </fill>
    </dxf>
    <dxf>
      <font>
        <name val="Sylfaen"/>
      </font>
      <fill>
        <patternFill patternType="solid">
          <fgColor indexed="64"/>
          <bgColor rgb="FFE7DFF0"/>
        </patternFill>
      </fill>
    </dxf>
    <dxf>
      <font>
        <name val="Sylfaen"/>
      </font>
      <fill>
        <patternFill patternType="solid">
          <fgColor indexed="64"/>
          <bgColor rgb="FFE7DFF0"/>
        </patternFill>
      </fill>
    </dxf>
    <dxf>
      <font>
        <name val="Sylfaen"/>
      </font>
      <fill>
        <patternFill patternType="solid">
          <fgColor indexed="64"/>
          <bgColor rgb="FFE7DFF0"/>
        </patternFill>
      </fill>
    </dxf>
    <dxf>
      <font>
        <name val="Sylfaen"/>
      </font>
      <fill>
        <patternFill patternType="solid">
          <fgColor indexed="64"/>
          <bgColor rgb="FFE7DFF0"/>
        </patternFill>
      </fill>
    </dxf>
    <dxf>
      <font>
        <name val="Sylfaen"/>
      </font>
      <fill>
        <patternFill patternType="solid">
          <fgColor indexed="64"/>
          <bgColor rgb="FFE7DFF0"/>
        </patternFill>
      </fill>
    </dxf>
    <dxf>
      <font>
        <name val="Sylfaen"/>
      </font>
      <numFmt numFmtId="0" formatCode="General"/>
      <fill>
        <patternFill patternType="solid">
          <fgColor indexed="64"/>
          <bgColor rgb="FFE7DFF0"/>
        </patternFill>
      </fill>
    </dxf>
    <dxf>
      <font>
        <name val="Sylfaen"/>
      </font>
      <fill>
        <patternFill patternType="solid">
          <fgColor indexed="64"/>
          <bgColor rgb="FFE7DFF0"/>
        </patternFill>
      </fill>
    </dxf>
    <dxf>
      <border>
        <left style="medium">
          <color rgb="FF000000"/>
        </left>
        <right style="medium">
          <color rgb="FF000000"/>
        </right>
        <top style="medium">
          <color rgb="FF000000"/>
        </top>
        <bottom style="medium">
          <color rgb="FF000000"/>
        </bottom>
      </border>
    </dxf>
    <dxf>
      <font>
        <name val="Sylfaen"/>
      </font>
      <fill>
        <patternFill patternType="solid">
          <fgColor indexed="64"/>
          <bgColor rgb="FFE7DFF0"/>
        </patternFill>
      </fill>
    </dxf>
    <dxf>
      <font>
        <color theme="0"/>
        <name val="Sylfaen"/>
      </font>
      <fill>
        <patternFill patternType="solid">
          <fgColor indexed="64"/>
          <bgColor rgb="FF440187"/>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
      <fill>
        <patternFill patternType="solid">
          <fgColor indexed="64"/>
          <bgColor rgb="FF440187"/>
        </patternFill>
      </fill>
    </dxf>
    <dxf>
      <fill>
        <patternFill patternType="solid">
          <fgColor indexed="64"/>
          <bgColor rgb="FF440187"/>
        </patternFill>
      </fill>
    </dxf>
    <dxf>
      <font>
        <color theme="0"/>
      </font>
    </dxf>
    <dxf>
      <font>
        <color theme="0"/>
      </font>
    </dxf>
    <dxf>
      <alignment horizontal="center"/>
    </dxf>
    <dxf>
      <alignment horizontal="center"/>
    </dxf>
    <dxf>
      <font>
        <name val="Angsana New"/>
      </font>
    </dxf>
    <dxf>
      <font>
        <name val="Angsana New"/>
      </font>
    </dxf>
    <dxf>
      <font>
        <sz val="16"/>
      </font>
    </dxf>
    <dxf>
      <font>
        <sz val="16"/>
      </font>
    </dxf>
    <dxf>
      <fill>
        <patternFill patternType="solid">
          <fgColor indexed="64"/>
          <bgColor rgb="FFE7DFF0"/>
        </patternFill>
      </fill>
    </dxf>
    <dxf>
      <font>
        <name val="Sylfaen"/>
      </font>
    </dxf>
    <dxf>
      <fill>
        <patternFill patternType="solid">
          <fgColor indexed="64"/>
          <bgColor rgb="FF440187"/>
        </patternFill>
      </fill>
    </dxf>
    <dxf>
      <font>
        <color theme="0"/>
      </font>
    </dxf>
    <dxf>
      <font>
        <name val="Sylfaen"/>
      </font>
    </dxf>
    <dxf>
      <alignment horizontal="center"/>
    </dxf>
    <dxf>
      <fill>
        <patternFill patternType="solid">
          <fgColor indexed="64"/>
          <bgColor rgb="FFE7DFF0"/>
        </patternFill>
      </fill>
    </dxf>
    <dxf>
      <font>
        <name val="Sylfaen"/>
      </font>
    </dxf>
    <dxf>
      <fill>
        <patternFill patternType="solid">
          <fgColor indexed="64"/>
          <bgColor rgb="FF440187"/>
        </patternFill>
      </fill>
    </dxf>
    <dxf>
      <alignment wrapText="1"/>
    </dxf>
    <dxf>
      <fill>
        <patternFill patternType="solid">
          <fgColor indexed="64"/>
          <bgColor rgb="FF440187"/>
        </patternFill>
      </fill>
    </dxf>
    <dxf>
      <fill>
        <patternFill patternType="solid">
          <fgColor indexed="64"/>
          <bgColor rgb="FF440187"/>
        </patternFill>
      </fill>
    </dxf>
    <dxf>
      <font>
        <color theme="0"/>
      </font>
    </dxf>
    <dxf>
      <font>
        <color theme="0"/>
      </font>
    </dxf>
    <dxf>
      <alignment horizontal="center"/>
    </dxf>
    <dxf>
      <alignment horizontal="center"/>
    </dxf>
    <dxf>
      <font>
        <name val="Angsana New"/>
      </font>
    </dxf>
    <dxf>
      <font>
        <name val="Angsana New"/>
      </font>
    </dxf>
    <dxf>
      <font>
        <sz val="16"/>
      </font>
    </dxf>
    <dxf>
      <font>
        <sz val="16"/>
      </font>
    </dxf>
    <dxf>
      <fill>
        <patternFill patternType="solid">
          <fgColor indexed="64"/>
          <bgColor rgb="FFE7DFF0"/>
        </patternFill>
      </fill>
    </dxf>
    <dxf>
      <fill>
        <patternFill patternType="solid">
          <fgColor indexed="64"/>
          <bgColor rgb="FFE7DFF0"/>
        </patternFill>
      </fill>
    </dxf>
    <dxf>
      <font>
        <name val="Sylfaen"/>
      </font>
    </dxf>
    <dxf>
      <font>
        <name val="Sylfaen"/>
      </font>
    </dxf>
  </dxfs>
  <tableStyles count="0" defaultTableStyle="TableStyleMedium2" defaultPivotStyle="PivotStyleLight16"/>
  <colors>
    <mruColors>
      <color rgb="FF440187"/>
      <color rgb="FFE7DFF0"/>
      <color rgb="FFBF9DE0"/>
      <color rgb="FF8F34EB"/>
      <color rgb="FF6C6770"/>
      <color rgb="FF756585"/>
      <color rgb="FFBB83E6"/>
      <color rgb="FF784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[BudgetSavvy Dashboard.xlsx]Dashboard!PivotTable1</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Angsana New"/>
                <a:ea typeface="Angsana New"/>
                <a:cs typeface="Angsana New"/>
              </a:defRPr>
            </a:pPr>
            <a:r>
              <a:rPr lang="en-US"/>
              <a:t>Professions Affected By Feature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Angsana New"/>
              <a:ea typeface="Angsana New"/>
              <a:cs typeface="Angsana New"/>
            </a:defRPr>
          </a:pPr>
          <a:endParaRPr lang="en-US"/>
        </a:p>
      </c:txPr>
    </c:title>
    <c:autoTitleDeleted val="0"/>
    <c:pivotFmts>
      <c:pivotFmt>
        <c:idx val="0"/>
        <c:spPr>
          <a:solidFill>
            <a:srgbClr val="E7DF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0187"/>
          </a:solidFill>
          <a:ln w="19050">
            <a:solidFill>
              <a:schemeClr val="lt1"/>
            </a:solidFill>
          </a:ln>
          <a:effectLst/>
        </c:spPr>
      </c:pivotFmt>
      <c:pivotFmt>
        <c:idx val="2"/>
        <c:spPr>
          <a:solidFill>
            <a:srgbClr val="784BAB"/>
          </a:solidFill>
          <a:ln w="19050">
            <a:solidFill>
              <a:schemeClr val="lt1"/>
            </a:solidFill>
          </a:ln>
          <a:effectLst/>
        </c:spPr>
      </c:pivotFmt>
      <c:pivotFmt>
        <c:idx val="3"/>
        <c:spPr>
          <a:solidFill>
            <a:srgbClr val="BB83E6"/>
          </a:solidFill>
          <a:ln w="19050">
            <a:solidFill>
              <a:schemeClr val="lt1"/>
            </a:solidFill>
          </a:ln>
          <a:effectLst/>
        </c:spPr>
      </c:pivotFmt>
      <c:pivotFmt>
        <c:idx val="4"/>
        <c:spPr>
          <a:solidFill>
            <a:srgbClr val="756585"/>
          </a:solidFill>
          <a:ln w="19050">
            <a:solidFill>
              <a:schemeClr val="lt1"/>
            </a:solidFill>
          </a:ln>
          <a:effectLst/>
        </c:spPr>
      </c:pivotFmt>
      <c:pivotFmt>
        <c:idx val="5"/>
        <c:spPr>
          <a:solidFill>
            <a:srgbClr val="8F34EB"/>
          </a:solidFill>
          <a:ln w="19050">
            <a:solidFill>
              <a:schemeClr val="lt1"/>
            </a:solidFill>
          </a:ln>
          <a:effectLst/>
        </c:spPr>
      </c:pivotFmt>
      <c:pivotFmt>
        <c:idx val="6"/>
        <c:spPr>
          <a:solidFill>
            <a:srgbClr val="E7DFF0"/>
          </a:solidFill>
          <a:ln w="19050">
            <a:solidFill>
              <a:schemeClr val="lt1"/>
            </a:solidFill>
          </a:ln>
          <a:effectLst/>
        </c:spPr>
      </c:pivotFmt>
      <c:pivotFmt>
        <c:idx val="7"/>
        <c:spPr>
          <a:solidFill>
            <a:srgbClr val="E7DFF0"/>
          </a:solidFill>
          <a:ln w="19050">
            <a:solidFill>
              <a:schemeClr val="lt1"/>
            </a:solidFill>
          </a:ln>
          <a:effectLst/>
        </c:spPr>
      </c:pivotFmt>
      <c:pivotFmt>
        <c:idx val="8"/>
        <c:spPr>
          <a:solidFill>
            <a:srgbClr val="E7DFF0"/>
          </a:solidFill>
          <a:ln w="19050">
            <a:solidFill>
              <a:schemeClr val="lt1"/>
            </a:solidFill>
          </a:ln>
          <a:effectLst/>
        </c:spPr>
      </c:pivotFmt>
      <c:pivotFmt>
        <c:idx val="9"/>
        <c:spPr>
          <a:solidFill>
            <a:srgbClr val="E7DFF0"/>
          </a:solidFill>
          <a:ln w="19050">
            <a:solidFill>
              <a:schemeClr val="lt1"/>
            </a:solidFill>
          </a:ln>
          <a:effectLst/>
        </c:spPr>
      </c:pivotFmt>
      <c:pivotFmt>
        <c:idx val="10"/>
        <c:spPr>
          <a:solidFill>
            <a:srgbClr val="E7DFF0"/>
          </a:solidFill>
          <a:ln w="19050">
            <a:solidFill>
              <a:schemeClr val="lt1"/>
            </a:solidFill>
          </a:ln>
          <a:effectLst/>
        </c:spPr>
      </c:pivotFmt>
      <c:pivotFmt>
        <c:idx val="11"/>
        <c:spPr>
          <a:solidFill>
            <a:srgbClr val="E7DFF0"/>
          </a:solidFill>
          <a:ln w="19050">
            <a:solidFill>
              <a:schemeClr val="lt1"/>
            </a:solidFill>
          </a:ln>
          <a:effectLst/>
        </c:spPr>
      </c:pivotFmt>
      <c:pivotFmt>
        <c:idx val="12"/>
        <c:spPr>
          <a:solidFill>
            <a:srgbClr val="E7DFF0"/>
          </a:solidFill>
          <a:ln w="19050">
            <a:solidFill>
              <a:schemeClr val="lt1"/>
            </a:solidFill>
          </a:ln>
          <a:effectLst/>
        </c:spPr>
      </c:pivotFmt>
      <c:pivotFmt>
        <c:idx val="13"/>
        <c:spPr>
          <a:solidFill>
            <a:srgbClr val="E7DFF0"/>
          </a:solidFill>
          <a:ln w="19050">
            <a:solidFill>
              <a:schemeClr val="lt1"/>
            </a:solidFill>
          </a:ln>
          <a:effectLst/>
        </c:spPr>
      </c:pivotFmt>
      <c:pivotFmt>
        <c:idx val="14"/>
        <c:spPr>
          <a:solidFill>
            <a:srgbClr val="E7DFF0"/>
          </a:solidFill>
          <a:ln w="19050">
            <a:solidFill>
              <a:schemeClr val="lt1"/>
            </a:solidFill>
          </a:ln>
          <a:effectLst/>
        </c:spPr>
      </c:pivotFmt>
      <c:pivotFmt>
        <c:idx val="15"/>
        <c:spPr>
          <a:solidFill>
            <a:srgbClr val="E7DFF0"/>
          </a:solidFill>
          <a:ln w="19050">
            <a:solidFill>
              <a:schemeClr val="lt1"/>
            </a:solidFill>
          </a:ln>
          <a:effectLst/>
        </c:spPr>
      </c:pivotFmt>
      <c:pivotFmt>
        <c:idx val="16"/>
        <c:spPr>
          <a:solidFill>
            <a:srgbClr val="E7DFF0"/>
          </a:solidFill>
          <a:ln w="19050">
            <a:solidFill>
              <a:schemeClr val="lt1"/>
            </a:solidFill>
          </a:ln>
          <a:effectLst/>
        </c:spPr>
      </c:pivotFmt>
      <c:pivotFmt>
        <c:idx val="17"/>
        <c:spPr>
          <a:solidFill>
            <a:srgbClr val="E7DFF0"/>
          </a:solidFill>
          <a:ln w="19050">
            <a:solidFill>
              <a:schemeClr val="lt1"/>
            </a:solidFill>
          </a:ln>
          <a:effectLst/>
        </c:spPr>
      </c:pivotFmt>
      <c:pivotFmt>
        <c:idx val="18"/>
        <c:spPr>
          <a:solidFill>
            <a:srgbClr val="E7DFF0"/>
          </a:solidFill>
          <a:ln w="19050">
            <a:solidFill>
              <a:schemeClr val="lt1"/>
            </a:solidFill>
          </a:ln>
          <a:effectLst/>
        </c:spPr>
      </c:pivotFmt>
      <c:pivotFmt>
        <c:idx val="19"/>
        <c:spPr>
          <a:solidFill>
            <a:srgbClr val="E7DFF0"/>
          </a:solidFill>
          <a:ln w="19050">
            <a:solidFill>
              <a:schemeClr val="lt1"/>
            </a:solidFill>
          </a:ln>
          <a:effectLst/>
        </c:spPr>
      </c:pivotFmt>
      <c:pivotFmt>
        <c:idx val="20"/>
        <c:spPr>
          <a:solidFill>
            <a:srgbClr val="E7DFF0"/>
          </a:solidFill>
          <a:ln w="19050">
            <a:solidFill>
              <a:schemeClr val="lt1"/>
            </a:solidFill>
          </a:ln>
          <a:effectLst/>
        </c:spPr>
      </c:pivotFmt>
      <c:pivotFmt>
        <c:idx val="21"/>
        <c:spPr>
          <a:solidFill>
            <a:srgbClr val="E7DFF0"/>
          </a:solidFill>
          <a:ln w="19050">
            <a:solidFill>
              <a:schemeClr val="lt1"/>
            </a:solidFill>
          </a:ln>
          <a:effectLst/>
        </c:spPr>
      </c:pivotFmt>
      <c:pivotFmt>
        <c:idx val="22"/>
        <c:spPr>
          <a:solidFill>
            <a:srgbClr val="E7DFF0"/>
          </a:solidFill>
          <a:ln w="19050">
            <a:solidFill>
              <a:schemeClr val="lt1"/>
            </a:solidFill>
          </a:ln>
          <a:effectLst/>
        </c:spPr>
      </c:pivotFmt>
      <c:pivotFmt>
        <c:idx val="23"/>
        <c:spPr>
          <a:solidFill>
            <a:srgbClr val="E7DFF0"/>
          </a:solidFill>
          <a:ln w="19050">
            <a:solidFill>
              <a:schemeClr val="lt1"/>
            </a:solidFill>
          </a:ln>
          <a:effectLst/>
        </c:spPr>
      </c:pivotFmt>
      <c:pivotFmt>
        <c:idx val="24"/>
        <c:spPr>
          <a:solidFill>
            <a:srgbClr val="E7DFF0"/>
          </a:solidFill>
          <a:ln w="19050">
            <a:solidFill>
              <a:schemeClr val="lt1"/>
            </a:solidFill>
          </a:ln>
          <a:effectLst/>
        </c:spPr>
      </c:pivotFmt>
      <c:pivotFmt>
        <c:idx val="25"/>
        <c:spPr>
          <a:solidFill>
            <a:srgbClr val="E7DFF0"/>
          </a:solidFill>
          <a:ln w="19050">
            <a:solidFill>
              <a:schemeClr val="lt1"/>
            </a:solidFill>
          </a:ln>
          <a:effectLst/>
        </c:spPr>
      </c:pivotFmt>
      <c:pivotFmt>
        <c:idx val="26"/>
        <c:spPr>
          <a:solidFill>
            <a:srgbClr val="E7DFF0"/>
          </a:solidFill>
          <a:ln w="19050">
            <a:solidFill>
              <a:schemeClr val="lt1"/>
            </a:solidFill>
          </a:ln>
          <a:effectLst/>
        </c:spPr>
      </c:pivotFmt>
      <c:pivotFmt>
        <c:idx val="27"/>
        <c:spPr>
          <a:solidFill>
            <a:srgbClr val="E7DFF0"/>
          </a:solidFill>
          <a:ln w="19050">
            <a:solidFill>
              <a:schemeClr val="lt1"/>
            </a:solidFill>
          </a:ln>
          <a:effectLst/>
        </c:spPr>
      </c:pivotFmt>
      <c:pivotFmt>
        <c:idx val="28"/>
        <c:spPr>
          <a:solidFill>
            <a:srgbClr val="E7DFF0"/>
          </a:solidFill>
          <a:ln w="19050">
            <a:solidFill>
              <a:schemeClr val="lt1"/>
            </a:solidFill>
          </a:ln>
          <a:effectLst/>
        </c:spPr>
      </c:pivotFmt>
      <c:pivotFmt>
        <c:idx val="29"/>
        <c:spPr>
          <a:solidFill>
            <a:srgbClr val="E7DFF0"/>
          </a:solidFill>
          <a:ln w="19050">
            <a:solidFill>
              <a:schemeClr val="lt1"/>
            </a:solidFill>
          </a:ln>
          <a:effectLst/>
        </c:spPr>
      </c:pivotFmt>
      <c:pivotFmt>
        <c:idx val="30"/>
        <c:spPr>
          <a:solidFill>
            <a:srgbClr val="E7DFF0"/>
          </a:solidFill>
          <a:ln w="19050">
            <a:solidFill>
              <a:schemeClr val="lt1"/>
            </a:solidFill>
          </a:ln>
          <a:effectLst/>
        </c:spPr>
      </c:pivotFmt>
      <c:pivotFmt>
        <c:idx val="31"/>
        <c:spPr>
          <a:solidFill>
            <a:srgbClr val="E7DFF0"/>
          </a:solidFill>
          <a:ln w="19050">
            <a:solidFill>
              <a:schemeClr val="lt1"/>
            </a:solidFill>
          </a:ln>
          <a:effectLst/>
        </c:spPr>
      </c:pivotFmt>
      <c:pivotFmt>
        <c:idx val="32"/>
        <c:spPr>
          <a:solidFill>
            <a:srgbClr val="E7DFF0"/>
          </a:solidFill>
          <a:ln w="19050">
            <a:solidFill>
              <a:schemeClr val="lt1"/>
            </a:solidFill>
          </a:ln>
          <a:effectLst/>
        </c:spPr>
      </c:pivotFmt>
      <c:pivotFmt>
        <c:idx val="33"/>
        <c:spPr>
          <a:solidFill>
            <a:srgbClr val="E7DFF0"/>
          </a:solidFill>
          <a:ln w="19050">
            <a:solidFill>
              <a:schemeClr val="lt1"/>
            </a:solidFill>
          </a:ln>
          <a:effectLst/>
        </c:spPr>
      </c:pivotFmt>
      <c:pivotFmt>
        <c:idx val="34"/>
        <c:spPr>
          <a:solidFill>
            <a:srgbClr val="E7DFF0"/>
          </a:solidFill>
          <a:ln w="19050">
            <a:solidFill>
              <a:schemeClr val="lt1"/>
            </a:solidFill>
          </a:ln>
          <a:effectLst/>
        </c:spPr>
      </c:pivotFmt>
      <c:pivotFmt>
        <c:idx val="35"/>
        <c:spPr>
          <a:solidFill>
            <a:srgbClr val="E7DFF0"/>
          </a:solidFill>
          <a:ln w="19050">
            <a:solidFill>
              <a:schemeClr val="lt1"/>
            </a:solidFill>
          </a:ln>
          <a:effectLst/>
        </c:spPr>
      </c:pivotFmt>
      <c:pivotFmt>
        <c:idx val="36"/>
        <c:spPr>
          <a:solidFill>
            <a:srgbClr val="E7DFF0"/>
          </a:solidFill>
          <a:ln w="19050">
            <a:solidFill>
              <a:schemeClr val="lt1"/>
            </a:solidFill>
          </a:ln>
          <a:effectLst/>
        </c:spPr>
      </c:pivotFmt>
      <c:pivotFmt>
        <c:idx val="37"/>
        <c:spPr>
          <a:solidFill>
            <a:srgbClr val="E7DFF0"/>
          </a:solidFill>
          <a:ln w="19050">
            <a:solidFill>
              <a:schemeClr val="lt1"/>
            </a:solidFill>
          </a:ln>
          <a:effectLst/>
        </c:spPr>
      </c:pivotFmt>
      <c:pivotFmt>
        <c:idx val="38"/>
        <c:spPr>
          <a:solidFill>
            <a:srgbClr val="E7DFF0"/>
          </a:solidFill>
          <a:ln w="19050">
            <a:solidFill>
              <a:schemeClr val="lt1"/>
            </a:solidFill>
          </a:ln>
          <a:effectLst/>
        </c:spPr>
      </c:pivotFmt>
      <c:pivotFmt>
        <c:idx val="39"/>
        <c:spPr>
          <a:solidFill>
            <a:srgbClr val="E7DFF0"/>
          </a:solidFill>
          <a:ln w="19050">
            <a:solidFill>
              <a:schemeClr val="lt1"/>
            </a:solidFill>
          </a:ln>
          <a:effectLst/>
        </c:spPr>
      </c:pivotFmt>
      <c:pivotFmt>
        <c:idx val="40"/>
        <c:spPr>
          <a:solidFill>
            <a:srgbClr val="E7DFF0"/>
          </a:solidFill>
          <a:ln w="19050">
            <a:solidFill>
              <a:schemeClr val="lt1"/>
            </a:solidFill>
          </a:ln>
          <a:effectLst/>
        </c:spPr>
      </c:pivotFmt>
      <c:pivotFmt>
        <c:idx val="41"/>
        <c:spPr>
          <a:solidFill>
            <a:srgbClr val="E7DFF0"/>
          </a:solidFill>
          <a:ln w="19050">
            <a:solidFill>
              <a:schemeClr val="lt1"/>
            </a:solidFill>
          </a:ln>
          <a:effectLst/>
        </c:spPr>
      </c:pivotFmt>
      <c:pivotFmt>
        <c:idx val="42"/>
        <c:spPr>
          <a:solidFill>
            <a:srgbClr val="E7DFF0"/>
          </a:solidFill>
          <a:ln w="19050">
            <a:solidFill>
              <a:schemeClr val="lt1"/>
            </a:solidFill>
          </a:ln>
          <a:effectLst/>
        </c:spPr>
      </c:pivotFmt>
    </c:pivotFmts>
    <c:plotArea>
      <c:layout/>
      <c:pieChart>
        <c:varyColors val="1"/>
        <c:ser>
          <c:idx val="0"/>
          <c:order val="0"/>
          <c:tx>
            <c:strRef>
              <c:f>Dashboard!$C$16</c:f>
              <c:strCache>
                <c:ptCount val="1"/>
                <c:pt idx="0">
                  <c:v>Total</c:v>
                </c:pt>
              </c:strCache>
            </c:strRef>
          </c:tx>
          <c:spPr>
            <a:solidFill>
              <a:srgbClr val="E7DFF0"/>
            </a:solidFill>
          </c:spPr>
          <c:dPt>
            <c:idx val="0"/>
            <c:bubble3D val="0"/>
            <c:spPr>
              <a:solidFill>
                <a:srgbClr val="440187"/>
              </a:solidFill>
              <a:ln w="19050">
                <a:solidFill>
                  <a:schemeClr val="lt1"/>
                </a:solidFill>
              </a:ln>
              <a:effectLst/>
            </c:spPr>
            <c:extLst>
              <c:ext xmlns:c16="http://schemas.microsoft.com/office/drawing/2014/chart" uri="{C3380CC4-5D6E-409C-BE32-E72D297353CC}">
                <c16:uniqueId val="{00000003-6130-40F0-B81D-22F03DA92CE1}"/>
              </c:ext>
            </c:extLst>
          </c:dPt>
          <c:dPt>
            <c:idx val="1"/>
            <c:bubble3D val="0"/>
            <c:spPr>
              <a:solidFill>
                <a:srgbClr val="784BAB"/>
              </a:solidFill>
              <a:ln w="19050">
                <a:solidFill>
                  <a:schemeClr val="lt1"/>
                </a:solidFill>
              </a:ln>
              <a:effectLst/>
            </c:spPr>
            <c:extLst>
              <c:ext xmlns:c16="http://schemas.microsoft.com/office/drawing/2014/chart" uri="{C3380CC4-5D6E-409C-BE32-E72D297353CC}">
                <c16:uniqueId val="{00000004-6130-40F0-B81D-22F03DA92CE1}"/>
              </c:ext>
            </c:extLst>
          </c:dPt>
          <c:dPt>
            <c:idx val="2"/>
            <c:bubble3D val="0"/>
            <c:spPr>
              <a:solidFill>
                <a:srgbClr val="BB83E6"/>
              </a:solidFill>
              <a:ln w="19050">
                <a:solidFill>
                  <a:schemeClr val="lt1"/>
                </a:solidFill>
              </a:ln>
              <a:effectLst/>
            </c:spPr>
            <c:extLst>
              <c:ext xmlns:c16="http://schemas.microsoft.com/office/drawing/2014/chart" uri="{C3380CC4-5D6E-409C-BE32-E72D297353CC}">
                <c16:uniqueId val="{00000005-6130-40F0-B81D-22F03DA92CE1}"/>
              </c:ext>
            </c:extLst>
          </c:dPt>
          <c:dPt>
            <c:idx val="3"/>
            <c:bubble3D val="0"/>
            <c:spPr>
              <a:solidFill>
                <a:srgbClr val="756585"/>
              </a:solidFill>
              <a:ln w="19050">
                <a:solidFill>
                  <a:schemeClr val="lt1"/>
                </a:solidFill>
              </a:ln>
              <a:effectLst/>
            </c:spPr>
            <c:extLst>
              <c:ext xmlns:c16="http://schemas.microsoft.com/office/drawing/2014/chart" uri="{C3380CC4-5D6E-409C-BE32-E72D297353CC}">
                <c16:uniqueId val="{00000006-6130-40F0-B81D-22F03DA92CE1}"/>
              </c:ext>
            </c:extLst>
          </c:dPt>
          <c:dPt>
            <c:idx val="4"/>
            <c:bubble3D val="0"/>
            <c:spPr>
              <a:solidFill>
                <a:srgbClr val="E7DFF0"/>
              </a:solidFill>
              <a:ln w="19050">
                <a:solidFill>
                  <a:schemeClr val="lt1"/>
                </a:solidFill>
              </a:ln>
              <a:effectLst/>
            </c:spPr>
            <c:extLst>
              <c:ext xmlns:c16="http://schemas.microsoft.com/office/drawing/2014/chart" uri="{C3380CC4-5D6E-409C-BE32-E72D297353CC}">
                <c16:uniqueId val="{00000007-6130-40F0-B81D-22F03DA92CE1}"/>
              </c:ext>
            </c:extLst>
          </c:dPt>
          <c:dPt>
            <c:idx val="5"/>
            <c:bubble3D val="0"/>
            <c:spPr>
              <a:solidFill>
                <a:srgbClr val="E7DFF0"/>
              </a:solidFill>
              <a:ln w="19050">
                <a:solidFill>
                  <a:schemeClr val="lt1"/>
                </a:solidFill>
              </a:ln>
              <a:effectLst/>
            </c:spPr>
            <c:extLst>
              <c:ext xmlns:c16="http://schemas.microsoft.com/office/drawing/2014/chart" uri="{C3380CC4-5D6E-409C-BE32-E72D297353CC}">
                <c16:uniqueId val="{0000000B-711B-49C9-9AE2-DDCBE29AABD2}"/>
              </c:ext>
            </c:extLst>
          </c:dPt>
          <c:dPt>
            <c:idx val="6"/>
            <c:bubble3D val="0"/>
            <c:spPr>
              <a:solidFill>
                <a:srgbClr val="E7DFF0"/>
              </a:solidFill>
              <a:ln w="19050">
                <a:solidFill>
                  <a:schemeClr val="lt1"/>
                </a:solidFill>
              </a:ln>
              <a:effectLst/>
            </c:spPr>
            <c:extLst>
              <c:ext xmlns:c16="http://schemas.microsoft.com/office/drawing/2014/chart" uri="{C3380CC4-5D6E-409C-BE32-E72D297353CC}">
                <c16:uniqueId val="{0000000D-711B-49C9-9AE2-DDCBE29AABD2}"/>
              </c:ext>
            </c:extLst>
          </c:dPt>
          <c:dPt>
            <c:idx val="7"/>
            <c:bubble3D val="0"/>
            <c:spPr>
              <a:solidFill>
                <a:srgbClr val="E7DFF0"/>
              </a:solidFill>
              <a:ln w="19050">
                <a:solidFill>
                  <a:schemeClr val="lt1"/>
                </a:solidFill>
              </a:ln>
              <a:effectLst/>
            </c:spPr>
            <c:extLst>
              <c:ext xmlns:c16="http://schemas.microsoft.com/office/drawing/2014/chart" uri="{C3380CC4-5D6E-409C-BE32-E72D297353CC}">
                <c16:uniqueId val="{0000000F-711B-49C9-9AE2-DDCBE29AABD2}"/>
              </c:ext>
            </c:extLst>
          </c:dPt>
          <c:dPt>
            <c:idx val="8"/>
            <c:bubble3D val="0"/>
            <c:spPr>
              <a:solidFill>
                <a:srgbClr val="E7DFF0"/>
              </a:solidFill>
              <a:ln w="19050">
                <a:solidFill>
                  <a:schemeClr val="lt1"/>
                </a:solidFill>
              </a:ln>
              <a:effectLst/>
            </c:spPr>
            <c:extLst>
              <c:ext xmlns:c16="http://schemas.microsoft.com/office/drawing/2014/chart" uri="{C3380CC4-5D6E-409C-BE32-E72D297353CC}">
                <c16:uniqueId val="{00000011-711B-49C9-9AE2-DDCBE29AABD2}"/>
              </c:ext>
            </c:extLst>
          </c:dPt>
          <c:dPt>
            <c:idx val="9"/>
            <c:bubble3D val="0"/>
            <c:spPr>
              <a:solidFill>
                <a:srgbClr val="8F34EB"/>
              </a:solidFill>
              <a:ln w="19050">
                <a:solidFill>
                  <a:schemeClr val="lt1"/>
                </a:solidFill>
              </a:ln>
              <a:effectLst/>
            </c:spPr>
            <c:extLst>
              <c:ext xmlns:c16="http://schemas.microsoft.com/office/drawing/2014/chart" uri="{C3380CC4-5D6E-409C-BE32-E72D297353CC}">
                <c16:uniqueId val="{00000013-711B-49C9-9AE2-DDCBE29AABD2}"/>
              </c:ext>
            </c:extLst>
          </c:dPt>
          <c:dPt>
            <c:idx val="10"/>
            <c:bubble3D val="0"/>
            <c:spPr>
              <a:solidFill>
                <a:srgbClr val="E7DFF0"/>
              </a:solidFill>
              <a:ln w="19050">
                <a:solidFill>
                  <a:schemeClr val="lt1"/>
                </a:solidFill>
              </a:ln>
              <a:effectLst/>
            </c:spPr>
            <c:extLst>
              <c:ext xmlns:c16="http://schemas.microsoft.com/office/drawing/2014/chart" uri="{C3380CC4-5D6E-409C-BE32-E72D297353CC}">
                <c16:uniqueId val="{00000015-711B-49C9-9AE2-DDCBE29AABD2}"/>
              </c:ext>
            </c:extLst>
          </c:dPt>
          <c:dPt>
            <c:idx val="11"/>
            <c:bubble3D val="0"/>
            <c:spPr>
              <a:solidFill>
                <a:srgbClr val="E7DFF0"/>
              </a:solidFill>
              <a:ln w="19050">
                <a:solidFill>
                  <a:schemeClr val="lt1"/>
                </a:solidFill>
              </a:ln>
              <a:effectLst/>
            </c:spPr>
            <c:extLst>
              <c:ext xmlns:c16="http://schemas.microsoft.com/office/drawing/2014/chart" uri="{C3380CC4-5D6E-409C-BE32-E72D297353CC}">
                <c16:uniqueId val="{00000017-711B-49C9-9AE2-DDCBE29AABD2}"/>
              </c:ext>
            </c:extLst>
          </c:dPt>
          <c:dPt>
            <c:idx val="12"/>
            <c:bubble3D val="0"/>
            <c:spPr>
              <a:solidFill>
                <a:srgbClr val="E7DFF0"/>
              </a:solidFill>
              <a:ln w="19050">
                <a:solidFill>
                  <a:schemeClr val="lt1"/>
                </a:solidFill>
              </a:ln>
              <a:effectLst/>
            </c:spPr>
            <c:extLst>
              <c:ext xmlns:c16="http://schemas.microsoft.com/office/drawing/2014/chart" uri="{C3380CC4-5D6E-409C-BE32-E72D297353CC}">
                <c16:uniqueId val="{00000019-711B-49C9-9AE2-DDCBE29AABD2}"/>
              </c:ext>
            </c:extLst>
          </c:dPt>
          <c:dPt>
            <c:idx val="13"/>
            <c:bubble3D val="0"/>
            <c:spPr>
              <a:solidFill>
                <a:srgbClr val="E7DFF0"/>
              </a:solidFill>
              <a:ln w="19050">
                <a:solidFill>
                  <a:schemeClr val="lt1"/>
                </a:solidFill>
              </a:ln>
              <a:effectLst/>
            </c:spPr>
            <c:extLst>
              <c:ext xmlns:c16="http://schemas.microsoft.com/office/drawing/2014/chart" uri="{C3380CC4-5D6E-409C-BE32-E72D297353CC}">
                <c16:uniqueId val="{0000001B-711B-49C9-9AE2-DDCBE29AABD2}"/>
              </c:ext>
            </c:extLst>
          </c:dPt>
          <c:dPt>
            <c:idx val="14"/>
            <c:bubble3D val="0"/>
            <c:spPr>
              <a:solidFill>
                <a:srgbClr val="E7DFF0"/>
              </a:solidFill>
              <a:ln w="19050">
                <a:solidFill>
                  <a:schemeClr val="lt1"/>
                </a:solidFill>
              </a:ln>
              <a:effectLst/>
            </c:spPr>
            <c:extLst>
              <c:ext xmlns:c16="http://schemas.microsoft.com/office/drawing/2014/chart" uri="{C3380CC4-5D6E-409C-BE32-E72D297353CC}">
                <c16:uniqueId val="{0000001D-711B-49C9-9AE2-DDCBE29AABD2}"/>
              </c:ext>
            </c:extLst>
          </c:dPt>
          <c:dPt>
            <c:idx val="15"/>
            <c:bubble3D val="0"/>
            <c:spPr>
              <a:solidFill>
                <a:srgbClr val="E7DFF0"/>
              </a:solidFill>
              <a:ln w="19050">
                <a:solidFill>
                  <a:schemeClr val="lt1"/>
                </a:solidFill>
              </a:ln>
              <a:effectLst/>
            </c:spPr>
            <c:extLst>
              <c:ext xmlns:c16="http://schemas.microsoft.com/office/drawing/2014/chart" uri="{C3380CC4-5D6E-409C-BE32-E72D297353CC}">
                <c16:uniqueId val="{0000001F-711B-49C9-9AE2-DDCBE29AABD2}"/>
              </c:ext>
            </c:extLst>
          </c:dPt>
          <c:dPt>
            <c:idx val="16"/>
            <c:bubble3D val="0"/>
            <c:spPr>
              <a:solidFill>
                <a:srgbClr val="E7DFF0"/>
              </a:solidFill>
              <a:ln w="19050">
                <a:solidFill>
                  <a:schemeClr val="lt1"/>
                </a:solidFill>
              </a:ln>
              <a:effectLst/>
            </c:spPr>
            <c:extLst>
              <c:ext xmlns:c16="http://schemas.microsoft.com/office/drawing/2014/chart" uri="{C3380CC4-5D6E-409C-BE32-E72D297353CC}">
                <c16:uniqueId val="{00000021-711B-49C9-9AE2-DDCBE29AABD2}"/>
              </c:ext>
            </c:extLst>
          </c:dPt>
          <c:dPt>
            <c:idx val="17"/>
            <c:bubble3D val="0"/>
            <c:spPr>
              <a:solidFill>
                <a:srgbClr val="E7DFF0"/>
              </a:solidFill>
              <a:ln w="19050">
                <a:solidFill>
                  <a:schemeClr val="lt1"/>
                </a:solidFill>
              </a:ln>
              <a:effectLst/>
            </c:spPr>
            <c:extLst>
              <c:ext xmlns:c16="http://schemas.microsoft.com/office/drawing/2014/chart" uri="{C3380CC4-5D6E-409C-BE32-E72D297353CC}">
                <c16:uniqueId val="{00000023-711B-49C9-9AE2-DDCBE29AABD2}"/>
              </c:ext>
            </c:extLst>
          </c:dPt>
          <c:dPt>
            <c:idx val="18"/>
            <c:bubble3D val="0"/>
            <c:spPr>
              <a:solidFill>
                <a:srgbClr val="E7DFF0"/>
              </a:solidFill>
              <a:ln w="19050">
                <a:solidFill>
                  <a:schemeClr val="lt1"/>
                </a:solidFill>
              </a:ln>
              <a:effectLst/>
            </c:spPr>
            <c:extLst>
              <c:ext xmlns:c16="http://schemas.microsoft.com/office/drawing/2014/chart" uri="{C3380CC4-5D6E-409C-BE32-E72D297353CC}">
                <c16:uniqueId val="{00000025-711B-49C9-9AE2-DDCBE29AABD2}"/>
              </c:ext>
            </c:extLst>
          </c:dPt>
          <c:dPt>
            <c:idx val="19"/>
            <c:bubble3D val="0"/>
            <c:spPr>
              <a:solidFill>
                <a:srgbClr val="E7DFF0"/>
              </a:solidFill>
              <a:ln w="19050">
                <a:solidFill>
                  <a:schemeClr val="lt1"/>
                </a:solidFill>
              </a:ln>
              <a:effectLst/>
            </c:spPr>
            <c:extLst>
              <c:ext xmlns:c16="http://schemas.microsoft.com/office/drawing/2014/chart" uri="{C3380CC4-5D6E-409C-BE32-E72D297353CC}">
                <c16:uniqueId val="{00000027-711B-49C9-9AE2-DDCBE29AABD2}"/>
              </c:ext>
            </c:extLst>
          </c:dPt>
          <c:dPt>
            <c:idx val="20"/>
            <c:bubble3D val="0"/>
            <c:spPr>
              <a:solidFill>
                <a:srgbClr val="E7DFF0"/>
              </a:solidFill>
              <a:ln w="19050">
                <a:solidFill>
                  <a:schemeClr val="lt1"/>
                </a:solidFill>
              </a:ln>
              <a:effectLst/>
            </c:spPr>
            <c:extLst>
              <c:ext xmlns:c16="http://schemas.microsoft.com/office/drawing/2014/chart" uri="{C3380CC4-5D6E-409C-BE32-E72D297353CC}">
                <c16:uniqueId val="{00000029-711B-49C9-9AE2-DDCBE29AABD2}"/>
              </c:ext>
            </c:extLst>
          </c:dPt>
          <c:dPt>
            <c:idx val="21"/>
            <c:bubble3D val="0"/>
            <c:spPr>
              <a:solidFill>
                <a:srgbClr val="E7DFF0"/>
              </a:solidFill>
              <a:ln w="19050">
                <a:solidFill>
                  <a:schemeClr val="lt1"/>
                </a:solidFill>
              </a:ln>
              <a:effectLst/>
            </c:spPr>
            <c:extLst>
              <c:ext xmlns:c16="http://schemas.microsoft.com/office/drawing/2014/chart" uri="{C3380CC4-5D6E-409C-BE32-E72D297353CC}">
                <c16:uniqueId val="{0000002B-711B-49C9-9AE2-DDCBE29AABD2}"/>
              </c:ext>
            </c:extLst>
          </c:dPt>
          <c:dPt>
            <c:idx val="22"/>
            <c:bubble3D val="0"/>
            <c:spPr>
              <a:solidFill>
                <a:srgbClr val="E7DFF0"/>
              </a:solidFill>
              <a:ln w="19050">
                <a:solidFill>
                  <a:schemeClr val="lt1"/>
                </a:solidFill>
              </a:ln>
              <a:effectLst/>
            </c:spPr>
            <c:extLst>
              <c:ext xmlns:c16="http://schemas.microsoft.com/office/drawing/2014/chart" uri="{C3380CC4-5D6E-409C-BE32-E72D297353CC}">
                <c16:uniqueId val="{0000002D-711B-49C9-9AE2-DDCBE29AABD2}"/>
              </c:ext>
            </c:extLst>
          </c:dPt>
          <c:dPt>
            <c:idx val="23"/>
            <c:bubble3D val="0"/>
            <c:spPr>
              <a:solidFill>
                <a:srgbClr val="E7DFF0"/>
              </a:solidFill>
              <a:ln w="19050">
                <a:solidFill>
                  <a:schemeClr val="lt1"/>
                </a:solidFill>
              </a:ln>
              <a:effectLst/>
            </c:spPr>
            <c:extLst>
              <c:ext xmlns:c16="http://schemas.microsoft.com/office/drawing/2014/chart" uri="{C3380CC4-5D6E-409C-BE32-E72D297353CC}">
                <c16:uniqueId val="{0000002F-711B-49C9-9AE2-DDCBE29AABD2}"/>
              </c:ext>
            </c:extLst>
          </c:dPt>
          <c:dPt>
            <c:idx val="24"/>
            <c:bubble3D val="0"/>
            <c:spPr>
              <a:solidFill>
                <a:srgbClr val="E7DFF0"/>
              </a:solidFill>
              <a:ln w="19050">
                <a:solidFill>
                  <a:schemeClr val="lt1"/>
                </a:solidFill>
              </a:ln>
              <a:effectLst/>
            </c:spPr>
            <c:extLst>
              <c:ext xmlns:c16="http://schemas.microsoft.com/office/drawing/2014/chart" uri="{C3380CC4-5D6E-409C-BE32-E72D297353CC}">
                <c16:uniqueId val="{00000031-711B-49C9-9AE2-DDCBE29AABD2}"/>
              </c:ext>
            </c:extLst>
          </c:dPt>
          <c:dPt>
            <c:idx val="25"/>
            <c:bubble3D val="0"/>
            <c:spPr>
              <a:solidFill>
                <a:srgbClr val="E7DFF0"/>
              </a:solidFill>
              <a:ln w="19050">
                <a:solidFill>
                  <a:schemeClr val="lt1"/>
                </a:solidFill>
              </a:ln>
              <a:effectLst/>
            </c:spPr>
            <c:extLst>
              <c:ext xmlns:c16="http://schemas.microsoft.com/office/drawing/2014/chart" uri="{C3380CC4-5D6E-409C-BE32-E72D297353CC}">
                <c16:uniqueId val="{00000033-711B-49C9-9AE2-DDCBE29AABD2}"/>
              </c:ext>
            </c:extLst>
          </c:dPt>
          <c:dPt>
            <c:idx val="26"/>
            <c:bubble3D val="0"/>
            <c:spPr>
              <a:solidFill>
                <a:srgbClr val="E7DFF0"/>
              </a:solidFill>
              <a:ln w="19050">
                <a:solidFill>
                  <a:schemeClr val="lt1"/>
                </a:solidFill>
              </a:ln>
              <a:effectLst/>
            </c:spPr>
            <c:extLst>
              <c:ext xmlns:c16="http://schemas.microsoft.com/office/drawing/2014/chart" uri="{C3380CC4-5D6E-409C-BE32-E72D297353CC}">
                <c16:uniqueId val="{00000035-711B-49C9-9AE2-DDCBE29AABD2}"/>
              </c:ext>
            </c:extLst>
          </c:dPt>
          <c:dPt>
            <c:idx val="27"/>
            <c:bubble3D val="0"/>
            <c:spPr>
              <a:solidFill>
                <a:srgbClr val="E7DFF0"/>
              </a:solidFill>
              <a:ln w="19050">
                <a:solidFill>
                  <a:schemeClr val="lt1"/>
                </a:solidFill>
              </a:ln>
              <a:effectLst/>
            </c:spPr>
            <c:extLst>
              <c:ext xmlns:c16="http://schemas.microsoft.com/office/drawing/2014/chart" uri="{C3380CC4-5D6E-409C-BE32-E72D297353CC}">
                <c16:uniqueId val="{00000037-711B-49C9-9AE2-DDCBE29AABD2}"/>
              </c:ext>
            </c:extLst>
          </c:dPt>
          <c:dPt>
            <c:idx val="28"/>
            <c:bubble3D val="0"/>
            <c:spPr>
              <a:solidFill>
                <a:srgbClr val="E7DFF0"/>
              </a:solidFill>
              <a:ln w="19050">
                <a:solidFill>
                  <a:schemeClr val="lt1"/>
                </a:solidFill>
              </a:ln>
              <a:effectLst/>
            </c:spPr>
            <c:extLst>
              <c:ext xmlns:c16="http://schemas.microsoft.com/office/drawing/2014/chart" uri="{C3380CC4-5D6E-409C-BE32-E72D297353CC}">
                <c16:uniqueId val="{00000039-711B-49C9-9AE2-DDCBE29AABD2}"/>
              </c:ext>
            </c:extLst>
          </c:dPt>
          <c:dPt>
            <c:idx val="29"/>
            <c:bubble3D val="0"/>
            <c:spPr>
              <a:solidFill>
                <a:srgbClr val="E7DFF0"/>
              </a:solidFill>
              <a:ln w="19050">
                <a:solidFill>
                  <a:schemeClr val="lt1"/>
                </a:solidFill>
              </a:ln>
              <a:effectLst/>
            </c:spPr>
            <c:extLst>
              <c:ext xmlns:c16="http://schemas.microsoft.com/office/drawing/2014/chart" uri="{C3380CC4-5D6E-409C-BE32-E72D297353CC}">
                <c16:uniqueId val="{0000003B-711B-49C9-9AE2-DDCBE29AABD2}"/>
              </c:ext>
            </c:extLst>
          </c:dPt>
          <c:dPt>
            <c:idx val="30"/>
            <c:bubble3D val="0"/>
            <c:spPr>
              <a:solidFill>
                <a:srgbClr val="E7DFF0"/>
              </a:solidFill>
              <a:ln w="19050">
                <a:solidFill>
                  <a:schemeClr val="lt1"/>
                </a:solidFill>
              </a:ln>
              <a:effectLst/>
            </c:spPr>
            <c:extLst>
              <c:ext xmlns:c16="http://schemas.microsoft.com/office/drawing/2014/chart" uri="{C3380CC4-5D6E-409C-BE32-E72D297353CC}">
                <c16:uniqueId val="{0000003D-711B-49C9-9AE2-DDCBE29AABD2}"/>
              </c:ext>
            </c:extLst>
          </c:dPt>
          <c:dPt>
            <c:idx val="31"/>
            <c:bubble3D val="0"/>
            <c:spPr>
              <a:solidFill>
                <a:srgbClr val="E7DFF0"/>
              </a:solidFill>
              <a:ln w="19050">
                <a:solidFill>
                  <a:schemeClr val="lt1"/>
                </a:solidFill>
              </a:ln>
              <a:effectLst/>
            </c:spPr>
            <c:extLst>
              <c:ext xmlns:c16="http://schemas.microsoft.com/office/drawing/2014/chart" uri="{C3380CC4-5D6E-409C-BE32-E72D297353CC}">
                <c16:uniqueId val="{0000003F-711B-49C9-9AE2-DDCBE29AABD2}"/>
              </c:ext>
            </c:extLst>
          </c:dPt>
          <c:dPt>
            <c:idx val="32"/>
            <c:bubble3D val="0"/>
            <c:spPr>
              <a:solidFill>
                <a:srgbClr val="E7DFF0"/>
              </a:solidFill>
              <a:ln w="19050">
                <a:solidFill>
                  <a:schemeClr val="lt1"/>
                </a:solidFill>
              </a:ln>
              <a:effectLst/>
            </c:spPr>
            <c:extLst>
              <c:ext xmlns:c16="http://schemas.microsoft.com/office/drawing/2014/chart" uri="{C3380CC4-5D6E-409C-BE32-E72D297353CC}">
                <c16:uniqueId val="{00000041-711B-49C9-9AE2-DDCBE29AABD2}"/>
              </c:ext>
            </c:extLst>
          </c:dPt>
          <c:dPt>
            <c:idx val="33"/>
            <c:bubble3D val="0"/>
            <c:spPr>
              <a:solidFill>
                <a:srgbClr val="E7DFF0"/>
              </a:solidFill>
              <a:ln w="19050">
                <a:solidFill>
                  <a:schemeClr val="lt1"/>
                </a:solidFill>
              </a:ln>
              <a:effectLst/>
            </c:spPr>
            <c:extLst>
              <c:ext xmlns:c16="http://schemas.microsoft.com/office/drawing/2014/chart" uri="{C3380CC4-5D6E-409C-BE32-E72D297353CC}">
                <c16:uniqueId val="{00000043-711B-49C9-9AE2-DDCBE29AABD2}"/>
              </c:ext>
            </c:extLst>
          </c:dPt>
          <c:dPt>
            <c:idx val="34"/>
            <c:bubble3D val="0"/>
            <c:spPr>
              <a:solidFill>
                <a:srgbClr val="E7DFF0"/>
              </a:solidFill>
              <a:ln w="19050">
                <a:solidFill>
                  <a:schemeClr val="lt1"/>
                </a:solidFill>
              </a:ln>
              <a:effectLst/>
            </c:spPr>
            <c:extLst>
              <c:ext xmlns:c16="http://schemas.microsoft.com/office/drawing/2014/chart" uri="{C3380CC4-5D6E-409C-BE32-E72D297353CC}">
                <c16:uniqueId val="{00000045-711B-49C9-9AE2-DDCBE29AABD2}"/>
              </c:ext>
            </c:extLst>
          </c:dPt>
          <c:dPt>
            <c:idx val="35"/>
            <c:bubble3D val="0"/>
            <c:spPr>
              <a:solidFill>
                <a:srgbClr val="E7DFF0"/>
              </a:solidFill>
              <a:ln w="19050">
                <a:solidFill>
                  <a:schemeClr val="lt1"/>
                </a:solidFill>
              </a:ln>
              <a:effectLst/>
            </c:spPr>
            <c:extLst>
              <c:ext xmlns:c16="http://schemas.microsoft.com/office/drawing/2014/chart" uri="{C3380CC4-5D6E-409C-BE32-E72D297353CC}">
                <c16:uniqueId val="{00000047-711B-49C9-9AE2-DDCBE29AABD2}"/>
              </c:ext>
            </c:extLst>
          </c:dPt>
          <c:dPt>
            <c:idx val="36"/>
            <c:bubble3D val="0"/>
            <c:spPr>
              <a:solidFill>
                <a:srgbClr val="E7DFF0"/>
              </a:solidFill>
              <a:ln w="19050">
                <a:solidFill>
                  <a:schemeClr val="lt1"/>
                </a:solidFill>
              </a:ln>
              <a:effectLst/>
            </c:spPr>
            <c:extLst>
              <c:ext xmlns:c16="http://schemas.microsoft.com/office/drawing/2014/chart" uri="{C3380CC4-5D6E-409C-BE32-E72D297353CC}">
                <c16:uniqueId val="{00000049-711B-49C9-9AE2-DDCBE29AABD2}"/>
              </c:ext>
            </c:extLst>
          </c:dPt>
          <c:dPt>
            <c:idx val="37"/>
            <c:bubble3D val="0"/>
            <c:spPr>
              <a:solidFill>
                <a:srgbClr val="E7DFF0"/>
              </a:solidFill>
              <a:ln w="19050">
                <a:solidFill>
                  <a:schemeClr val="lt1"/>
                </a:solidFill>
              </a:ln>
              <a:effectLst/>
            </c:spPr>
            <c:extLst>
              <c:ext xmlns:c16="http://schemas.microsoft.com/office/drawing/2014/chart" uri="{C3380CC4-5D6E-409C-BE32-E72D297353CC}">
                <c16:uniqueId val="{0000004B-711B-49C9-9AE2-DDCBE29AABD2}"/>
              </c:ext>
            </c:extLst>
          </c:dPt>
          <c:dPt>
            <c:idx val="38"/>
            <c:bubble3D val="0"/>
            <c:spPr>
              <a:solidFill>
                <a:srgbClr val="E7DFF0"/>
              </a:solidFill>
              <a:ln w="19050">
                <a:solidFill>
                  <a:schemeClr val="lt1"/>
                </a:solidFill>
              </a:ln>
              <a:effectLst/>
            </c:spPr>
            <c:extLst>
              <c:ext xmlns:c16="http://schemas.microsoft.com/office/drawing/2014/chart" uri="{C3380CC4-5D6E-409C-BE32-E72D297353CC}">
                <c16:uniqueId val="{0000004D-711B-49C9-9AE2-DDCBE29AABD2}"/>
              </c:ext>
            </c:extLst>
          </c:dPt>
          <c:dPt>
            <c:idx val="39"/>
            <c:bubble3D val="0"/>
            <c:spPr>
              <a:solidFill>
                <a:srgbClr val="E7DFF0"/>
              </a:solidFill>
              <a:ln w="19050">
                <a:solidFill>
                  <a:schemeClr val="lt1"/>
                </a:solidFill>
              </a:ln>
              <a:effectLst/>
            </c:spPr>
            <c:extLst>
              <c:ext xmlns:c16="http://schemas.microsoft.com/office/drawing/2014/chart" uri="{C3380CC4-5D6E-409C-BE32-E72D297353CC}">
                <c16:uniqueId val="{0000004F-711B-49C9-9AE2-DDCBE29AABD2}"/>
              </c:ext>
            </c:extLst>
          </c:dPt>
          <c:dPt>
            <c:idx val="40"/>
            <c:bubble3D val="0"/>
            <c:spPr>
              <a:solidFill>
                <a:srgbClr val="E7DFF0"/>
              </a:solidFill>
              <a:ln w="19050">
                <a:solidFill>
                  <a:schemeClr val="lt1"/>
                </a:solidFill>
              </a:ln>
              <a:effectLst/>
            </c:spPr>
            <c:extLst>
              <c:ext xmlns:c16="http://schemas.microsoft.com/office/drawing/2014/chart" uri="{C3380CC4-5D6E-409C-BE32-E72D297353CC}">
                <c16:uniqueId val="{00000051-711B-49C9-9AE2-DDCBE29AABD2}"/>
              </c:ext>
            </c:extLst>
          </c:dPt>
          <c:dPt>
            <c:idx val="41"/>
            <c:bubble3D val="0"/>
            <c:spPr>
              <a:solidFill>
                <a:srgbClr val="E7DFF0"/>
              </a:solidFill>
              <a:ln w="19050">
                <a:solidFill>
                  <a:schemeClr val="lt1"/>
                </a:solidFill>
              </a:ln>
              <a:effectLst/>
            </c:spPr>
            <c:extLst>
              <c:ext xmlns:c16="http://schemas.microsoft.com/office/drawing/2014/chart" uri="{C3380CC4-5D6E-409C-BE32-E72D297353CC}">
                <c16:uniqueId val="{00000053-711B-49C9-9AE2-DDCBE29AABD2}"/>
              </c:ext>
            </c:extLst>
          </c:dPt>
          <c:cat>
            <c:strRef>
              <c:f>Dashboard!$B$17:$B$58</c:f>
              <c:strCache>
                <c:ptCount val="42"/>
                <c:pt idx="0">
                  <c:v>General Public</c:v>
                </c:pt>
                <c:pt idx="1">
                  <c:v>Entrepreneurs, Small Business Owners</c:v>
                </c:pt>
                <c:pt idx="2">
                  <c:v>General Public, Investors</c:v>
                </c:pt>
                <c:pt idx="3">
                  <c:v>Exporters</c:v>
                </c:pt>
                <c:pt idx="4">
                  <c:v>Exporters, Manufacturers</c:v>
                </c:pt>
                <c:pt idx="5">
                  <c:v>Investors</c:v>
                </c:pt>
                <c:pt idx="6">
                  <c:v>Educators, Students</c:v>
                </c:pt>
                <c:pt idx="7">
                  <c:v>Economists, General Public</c:v>
                </c:pt>
                <c:pt idx="8">
                  <c:v>Farmers, Rural Communities</c:v>
                </c:pt>
                <c:pt idx="9">
                  <c:v>Students, Teachers</c:v>
                </c:pt>
                <c:pt idx="10">
                  <c:v>Investors, Job Seekers, Mining Companies</c:v>
                </c:pt>
                <c:pt idx="11">
                  <c:v>Daily Wage Workers, Low-Income Individuals</c:v>
                </c:pt>
                <c:pt idx="12">
                  <c:v>Job Seekers, Tourism Entrepreneurs</c:v>
                </c:pt>
                <c:pt idx="13">
                  <c:v>Researchers, Technologists</c:v>
                </c:pt>
                <c:pt idx="14">
                  <c:v>Banks, Borrowers, Policy Makers</c:v>
                </c:pt>
                <c:pt idx="15">
                  <c:v>Industry Professionals, Job Seekers, Workers</c:v>
                </c:pt>
                <c:pt idx="16">
                  <c:v>Entrepreneurs, Innovators, Researchers</c:v>
                </c:pt>
                <c:pt idx="17">
                  <c:v>Healthcare Workers, Students</c:v>
                </c:pt>
                <c:pt idx="18">
                  <c:v>Investors, Technologists</c:v>
                </c:pt>
                <c:pt idx="19">
                  <c:v>General Public, Students, Workforce</c:v>
                </c:pt>
                <c:pt idx="20">
                  <c:v>Businesses, Investors, Policy Makers</c:v>
                </c:pt>
                <c:pt idx="21">
                  <c:v>Researchers, Students</c:v>
                </c:pt>
                <c:pt idx="22">
                  <c:v>Agricultural Scientists, Farmers</c:v>
                </c:pt>
                <c:pt idx="23">
                  <c:v>Researchers</c:v>
                </c:pt>
                <c:pt idx="24">
                  <c:v>Entrepreneurs, Investors, Job Seekers, Small Business Owners</c:v>
                </c:pt>
                <c:pt idx="25">
                  <c:v>Fishermen</c:v>
                </c:pt>
                <c:pt idx="26">
                  <c:v>Entrepreneurs, Farmers, Students</c:v>
                </c:pt>
                <c:pt idx="27">
                  <c:v>Female Workforce</c:v>
                </c:pt>
                <c:pt idx="28">
                  <c:v>Educators, Healthcare Workers, Students</c:v>
                </c:pt>
                <c:pt idx="29">
                  <c:v>Policy Makers, Retirees, Working Population</c:v>
                </c:pt>
                <c:pt idx="30">
                  <c:v>Dairy Farmers, Farmers, Fishermen</c:v>
                </c:pt>
                <c:pt idx="31">
                  <c:v>Agribusiness Entrepreneurs, Exporters, Farmers</c:v>
                </c:pt>
                <c:pt idx="32">
                  <c:v>Children, Community Workers, Women</c:v>
                </c:pt>
                <c:pt idx="33">
                  <c:v>Farmers, General Public</c:v>
                </c:pt>
                <c:pt idx="34">
                  <c:v>Businesses, General Public</c:v>
                </c:pt>
                <c:pt idx="35">
                  <c:v>Manufacturers</c:v>
                </c:pt>
                <c:pt idx="36">
                  <c:v>Authors, General Public, Publishers</c:v>
                </c:pt>
                <c:pt idx="37">
                  <c:v>Exporters, Farmers, Textile Manufacturers</c:v>
                </c:pt>
                <c:pt idx="38">
                  <c:v>Agribusiness Entrepreneurs, Farmers</c:v>
                </c:pt>
                <c:pt idx="39">
                  <c:v>Low-Income Individuals, Policy Makers, Rural Population</c:v>
                </c:pt>
                <c:pt idx="40">
                  <c:v>Low-Income Individuals</c:v>
                </c:pt>
                <c:pt idx="41">
                  <c:v>Farmers, Researchers</c:v>
                </c:pt>
              </c:strCache>
            </c:strRef>
          </c:cat>
          <c:val>
            <c:numRef>
              <c:f>Dashboard!$C$17:$C$58</c:f>
              <c:numCache>
                <c:formatCode>General</c:formatCode>
                <c:ptCount val="42"/>
                <c:pt idx="0">
                  <c:v>12</c:v>
                </c:pt>
                <c:pt idx="1">
                  <c:v>4</c:v>
                </c:pt>
                <c:pt idx="2">
                  <c:v>3</c:v>
                </c:pt>
                <c:pt idx="3">
                  <c:v>3</c:v>
                </c:pt>
                <c:pt idx="4">
                  <c:v>2</c:v>
                </c:pt>
                <c:pt idx="5">
                  <c:v>2</c:v>
                </c:pt>
                <c:pt idx="6">
                  <c:v>2</c:v>
                </c:pt>
                <c:pt idx="7">
                  <c:v>2</c:v>
                </c:pt>
                <c:pt idx="8">
                  <c:v>2</c:v>
                </c:pt>
                <c:pt idx="9">
                  <c:v>2</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6130-40F0-B81D-22F03DA92C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Sylfaen"/>
              <a:ea typeface="Sylfaen"/>
              <a:cs typeface="Sylfaen"/>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[BudgetSavvy Dashboard.xlsx]Dashboard!PivotTable2</c:name>
    <c:fmtId val="1"/>
  </c:pivotSource>
  <c:chart>
    <c:title>
      <c:tx>
        <c:rich>
          <a:bodyPr rot="0" spcFirstLastPara="1" vertOverflow="ellipsis" vert="horz" wrap="square" anchor="ctr" anchorCtr="1"/>
          <a:lstStyle/>
          <a:p>
            <a:pPr>
              <a:defRPr sz="1900" b="1" i="0" u="none" strike="noStrike" kern="1200" spc="0" baseline="0">
                <a:solidFill>
                  <a:srgbClr val="000000"/>
                </a:solidFill>
                <a:latin typeface="Angsana New"/>
                <a:ea typeface="Angsana New"/>
                <a:cs typeface="Angsana New"/>
              </a:defRPr>
            </a:pPr>
            <a:r>
              <a:rPr lang="en-US"/>
              <a:t>Age Groups Affected</a:t>
            </a:r>
          </a:p>
        </c:rich>
      </c:tx>
      <c:overlay val="0"/>
      <c:spPr>
        <a:noFill/>
        <a:ln>
          <a:noFill/>
        </a:ln>
        <a:effectLst/>
      </c:spPr>
      <c:txPr>
        <a:bodyPr rot="0" spcFirstLastPara="1" vertOverflow="ellipsis" vert="horz" wrap="square" anchor="ctr" anchorCtr="1"/>
        <a:lstStyle/>
        <a:p>
          <a:pPr>
            <a:defRPr sz="1900" b="1" i="0" u="none" strike="noStrike" kern="1200" spc="0" baseline="0">
              <a:solidFill>
                <a:srgbClr val="000000"/>
              </a:solidFill>
              <a:latin typeface="Angsana New"/>
              <a:ea typeface="Angsana New"/>
              <a:cs typeface="Angsana New"/>
            </a:defRPr>
          </a:pPr>
          <a:endParaRPr lang="en-US"/>
        </a:p>
      </c:txPr>
    </c:title>
    <c:autoTitleDeleted val="0"/>
    <c:pivotFmts>
      <c:pivotFmt>
        <c:idx val="0"/>
        <c:spPr>
          <a:solidFill>
            <a:srgbClr val="44018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Dashboard!$H$16</c:f>
              <c:strCache>
                <c:ptCount val="1"/>
                <c:pt idx="0">
                  <c:v>Total</c:v>
                </c:pt>
              </c:strCache>
            </c:strRef>
          </c:tx>
          <c:spPr>
            <a:solidFill>
              <a:srgbClr val="440187"/>
            </a:solidFill>
            <a:ln w="19050">
              <a:solidFill>
                <a:schemeClr val="lt1"/>
              </a:solidFill>
            </a:ln>
            <a:effectLst/>
          </c:spPr>
          <c:invertIfNegative val="0"/>
          <c:cat>
            <c:strRef>
              <c:f>Dashboard!$G$17:$G$21</c:f>
              <c:strCache>
                <c:ptCount val="5"/>
                <c:pt idx="0">
                  <c:v>Adults</c:v>
                </c:pt>
                <c:pt idx="1">
                  <c:v>Adults, Senior Citizens</c:v>
                </c:pt>
                <c:pt idx="2">
                  <c:v>All Age Groups</c:v>
                </c:pt>
                <c:pt idx="3">
                  <c:v>Children</c:v>
                </c:pt>
                <c:pt idx="4">
                  <c:v>Children, Adults</c:v>
                </c:pt>
              </c:strCache>
            </c:strRef>
          </c:cat>
          <c:val>
            <c:numRef>
              <c:f>Dashboard!$H$17:$H$21</c:f>
              <c:numCache>
                <c:formatCode>General</c:formatCode>
                <c:ptCount val="5"/>
                <c:pt idx="0">
                  <c:v>39</c:v>
                </c:pt>
                <c:pt idx="1">
                  <c:v>1</c:v>
                </c:pt>
                <c:pt idx="2">
                  <c:v>23</c:v>
                </c:pt>
                <c:pt idx="3">
                  <c:v>1</c:v>
                </c:pt>
                <c:pt idx="4">
                  <c:v>2</c:v>
                </c:pt>
              </c:numCache>
            </c:numRef>
          </c:val>
          <c:extLst>
            <c:ext xmlns:c16="http://schemas.microsoft.com/office/drawing/2014/chart" uri="{C3380CC4-5D6E-409C-BE32-E72D297353CC}">
              <c16:uniqueId val="{00000000-A4FB-406F-B347-F7BA141AFF74}"/>
            </c:ext>
          </c:extLst>
        </c:ser>
        <c:dLbls>
          <c:showLegendKey val="0"/>
          <c:showVal val="0"/>
          <c:showCatName val="0"/>
          <c:showSerName val="0"/>
          <c:showPercent val="0"/>
          <c:showBubbleSize val="0"/>
        </c:dLbls>
        <c:gapWidth val="150"/>
        <c:axId val="2049607175"/>
        <c:axId val="2049609223"/>
      </c:barChart>
      <c:catAx>
        <c:axId val="2049607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09223"/>
        <c:crosses val="autoZero"/>
        <c:auto val="1"/>
        <c:lblAlgn val="ctr"/>
        <c:lblOffset val="100"/>
        <c:noMultiLvlLbl val="0"/>
      </c:catAx>
      <c:valAx>
        <c:axId val="2049609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07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8</xdr:col>
      <xdr:colOff>1400175</xdr:colOff>
      <xdr:row>3</xdr:row>
      <xdr:rowOff>47625</xdr:rowOff>
    </xdr:to>
    <xdr:sp macro="" textlink="">
      <xdr:nvSpPr>
        <xdr:cNvPr id="2" name="TextBox 1">
          <a:extLst>
            <a:ext uri="{FF2B5EF4-FFF2-40B4-BE49-F238E27FC236}">
              <a16:creationId xmlns:a16="http://schemas.microsoft.com/office/drawing/2014/main" id="{ECA2CA88-B695-34C9-BC47-D4612FD04E51}"/>
            </a:ext>
          </a:extLst>
        </xdr:cNvPr>
        <xdr:cNvSpPr txBox="1"/>
      </xdr:nvSpPr>
      <xdr:spPr>
        <a:xfrm>
          <a:off x="28575" y="38100"/>
          <a:ext cx="12420600" cy="628650"/>
        </a:xfrm>
        <a:prstGeom prst="rect">
          <a:avLst/>
        </a:prstGeom>
        <a:solidFill>
          <a:srgbClr val="BF9DE0"/>
        </a:solidFill>
        <a:ln w="57150" cmpd="sng">
          <a:solidFill>
            <a:schemeClr val="tx1"/>
          </a:solidFill>
        </a:ln>
      </xdr:spPr>
      <xdr:txBody>
        <a:bodyPr spcFirstLastPara="0" vertOverflow="clip" horzOverflow="clip" wrap="square" lIns="91440" tIns="45720" rIns="91440" bIns="45720" rtlCol="0" anchor="t">
          <a:noAutofit/>
        </a:bodyPr>
        <a:lstStyle/>
        <a:p>
          <a:pPr marL="0" indent="0" algn="ctr"/>
          <a:r>
            <a:rPr lang="en-US" sz="2800" b="1" i="0">
              <a:latin typeface="Sylfaen" panose="010A0502050306030303" pitchFamily="18" charset="0"/>
            </a:rPr>
            <a:t>UNION BUDGET 2025 ANALYSIS DASHBOARD</a:t>
          </a:r>
        </a:p>
      </xdr:txBody>
    </xdr:sp>
    <xdr:clientData/>
  </xdr:twoCellAnchor>
  <xdr:twoCellAnchor>
    <xdr:from>
      <xdr:col>3</xdr:col>
      <xdr:colOff>114300</xdr:colOff>
      <xdr:row>15</xdr:row>
      <xdr:rowOff>0</xdr:rowOff>
    </xdr:from>
    <xdr:to>
      <xdr:col>5</xdr:col>
      <xdr:colOff>762000</xdr:colOff>
      <xdr:row>29</xdr:row>
      <xdr:rowOff>28575</xdr:rowOff>
    </xdr:to>
    <xdr:graphicFrame macro="">
      <xdr:nvGraphicFramePr>
        <xdr:cNvPr id="6" name="Chart 5">
          <a:extLst>
            <a:ext uri="{FF2B5EF4-FFF2-40B4-BE49-F238E27FC236}">
              <a16:creationId xmlns:a16="http://schemas.microsoft.com/office/drawing/2014/main" id="{323A39C5-0F03-394C-6DA5-E72D3022F34F}"/>
            </a:ext>
            <a:ext uri="{147F2762-F138-4A5C-976F-8EAC2B608ADB}">
              <a16:predDERef xmlns:a16="http://schemas.microsoft.com/office/drawing/2014/main" pred="{ECA2CA88-B695-34C9-BC47-D4612FD0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895350</xdr:colOff>
      <xdr:row>21</xdr:row>
      <xdr:rowOff>85725</xdr:rowOff>
    </xdr:from>
    <xdr:to>
      <xdr:col>8</xdr:col>
      <xdr:colOff>28575</xdr:colOff>
      <xdr:row>34</xdr:row>
      <xdr:rowOff>123825</xdr:rowOff>
    </xdr:to>
    <xdr:graphicFrame macro="">
      <xdr:nvGraphicFramePr>
        <xdr:cNvPr id="7" name="Chart 6">
          <a:extLst>
            <a:ext uri="{FF2B5EF4-FFF2-40B4-BE49-F238E27FC236}">
              <a16:creationId xmlns:a16="http://schemas.microsoft.com/office/drawing/2014/main" id="{7B77B86E-1E86-0A6C-B5E3-3284680207BF}"/>
            </a:ext>
            <a:ext uri="{147F2762-F138-4A5C-976F-8EAC2B608ADB}">
              <a16:predDERef xmlns:a16="http://schemas.microsoft.com/office/drawing/2014/main" pred="{323A39C5-0F03-394C-6DA5-E72D3022F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161925</xdr:colOff>
      <xdr:row>29</xdr:row>
      <xdr:rowOff>85725</xdr:rowOff>
    </xdr:from>
    <xdr:to>
      <xdr:col>5</xdr:col>
      <xdr:colOff>771525</xdr:colOff>
      <xdr:row>38</xdr:row>
      <xdr:rowOff>142875</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2CC329D5-C613-1C50-067C-B7D4B430B029}"/>
                </a:ext>
                <a:ext uri="{147F2762-F138-4A5C-976F-8EAC2B608ADB}">
                  <a16:predDERef xmlns:a16="http://schemas.microsoft.com/office/drawing/2014/main" pred="{7B77B86E-1E86-0A6C-B5E3-3284680207B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686425" y="11677650"/>
              <a:ext cx="3562350" cy="17716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1.012778935183" createdVersion="8" refreshedVersion="8" minRefreshableVersion="3" recordCount="72" xr:uid="{1898422E-F069-44A6-B54A-E1965EE0ECD3}">
  <cacheSource type="worksheet">
    <worksheetSource name="Budget_Features"/>
  </cacheSource>
  <cacheFields count="8">
    <cacheField name="id" numFmtId="0">
      <sharedItems containsSemiMixedTypes="0" containsString="0" containsNumber="1" containsInteger="1" minValue="1" maxValue="72"/>
    </cacheField>
    <cacheField name="name" numFmtId="0">
      <sharedItems/>
    </cacheField>
    <cacheField name="description" numFmtId="0">
      <sharedItems/>
    </cacheField>
    <cacheField name="detailed_explanation" numFmtId="0">
      <sharedItems longText="1"/>
    </cacheField>
    <cacheField name="category" numFmtId="0">
      <sharedItems longText="1"/>
    </cacheField>
    <cacheField name="age_group" numFmtId="0">
      <sharedItems count="5">
        <s v="All Age Groups"/>
        <s v="Children"/>
        <s v="Adults"/>
        <s v="Children, Adults"/>
        <s v="Adults, Senior Citizens"/>
      </sharedItems>
    </cacheField>
    <cacheField name="profession" numFmtId="0">
      <sharedItems count="45">
        <s v="Daily Wage Workers, Low-Income Individuals"/>
        <s v="Students, Teachers"/>
        <s v="General Public"/>
        <s v="Female Workforce"/>
        <s v="Agribusiness Entrepreneurs, Exporters, Farmers"/>
        <s v="Economists, General Public"/>
        <s v="Farmers, Rural Communities"/>
        <s v="Farmers, General Public"/>
        <s v="Agribusiness Entrepreneurs, Farmers"/>
        <s v="Agricultural Scientists, Farmers"/>
        <s v="Fishermen"/>
        <s v="Exporters, Farmers, Textile Manufacturers"/>
        <s v="Dairy Farmers, Farmers, Fishermen"/>
        <s v="Agribusiness Entrepreneurs, Farmers, Industrial Workers"/>
        <s v="Entrepreneurs, Small Business Owners"/>
        <s v="Exporters, Manufacturers"/>
        <s v="Entrepreneurs, Farmers, Students"/>
        <s v="Manufacturers"/>
        <s v="General Public, Students, Workforce"/>
        <s v="Children, Community Workers, Women"/>
        <s v="Educators, Students"/>
        <s v="Educators, Healthcare Workers, Students"/>
        <s v="Authors, General Public, Publishers"/>
        <s v="Industry Professionals, Job Seekers, Workers"/>
        <s v="Researchers, Students"/>
        <s v="Healthcare Workers, Students"/>
        <s v="Low-Income Individuals"/>
        <s v="General Public, Investors"/>
        <s v="Innovators"/>
        <s v="Investors"/>
        <s v="Farmers"/>
        <s v="Investors, Job Seekers, Mining Companies"/>
        <s v="Entrepreneurs, Investors, Job Seekers, Small Business Owners"/>
        <s v="Job Seekers, Tourism Entrepreneurs"/>
        <s v="Entrepreneurs, Innovators, Researchers"/>
        <s v="Investors, Technologists"/>
        <s v="Researchers"/>
        <s v="Farmers, Researchers"/>
        <s v="Researchers, Technologists"/>
        <s v="Exporters"/>
        <s v="Banks, Borrowers, Policy Makers"/>
        <s v="Low-Income Individuals, Policy Makers, Rural Population"/>
        <s v="Policy Makers, Retirees, Working Population"/>
        <s v="Businesses, Investors, Policy Makers"/>
        <s v="Businesses, General Public"/>
      </sharedItems>
    </cacheField>
    <cacheField name="location" numFmtId="0">
      <sharedItems count="5">
        <s v="Nationwide"/>
        <s v="Bihar"/>
        <s v="Assam"/>
        <s v="Urban Areas"/>
        <s v="Mithilanchal"/>
      </sharedItems>
    </cacheField>
  </cacheFields>
  <extLst>
    <ext xmlns:x14="http://schemas.microsoft.com/office/spreadsheetml/2009/9/main" uri="{725AE2AE-9491-48be-B2B4-4EB974FC3084}">
      <x14:pivotCacheDefinition pivotCacheId="1933494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n v="1"/>
    <s v="Zero-Poverty"/>
    <s v="Comprehensive measures to eradicate poverty through social welfare, employment, and financial inclusion programs."/>
    <s v="{affects&quot;: &quot;- Low-income households receive financial aid and job opportunities\n- Entrepreneurs and MSMEs benefit from microfinance support\n- Social welfare schemes improve standard of living&quot;"/>
    <s v=" &quot;explanation&quot;: &quot;- Implement large-scale employment generation programs\n- Expand social security and direct benefit transfers\n- Strengthen financial inclusion and microfinance initiatives&quot;}&quot;"/>
    <x v="0"/>
    <x v="0"/>
    <x v="0"/>
  </r>
  <r>
    <n v="2"/>
    <s v="Hundred Per Cent Good Quality School Education"/>
    <s v="Ensuring universal access to high-quality education through curriculum reform, teacher training, and infrastructure development."/>
    <s v="{affects&quot;: &quot;- Students receive improved education quality\n- Teachers benefit from professional development programs\n- Parents see better academic outcomes for children&quot;"/>
    <s v=" &quot;explanation&quot;: &quot;- Upgrade school infrastructure and digital learning facilities\n- Implement teacher training programs for quality education\n- Introduce skill-based learning and holistic curriculum&quot;}&quot;"/>
    <x v="1"/>
    <x v="1"/>
    <x v="0"/>
  </r>
  <r>
    <n v="3"/>
    <s v="Access to High-Quality, Affordable, and Comprehensive Healthcare"/>
    <s v="Initiatives to enhance healthcare accessibility and affordability, including the establishment of Day Care Cancer Centres and exemption of customs duty on life-saving cancer drugs."/>
    <s v="{affects&quot;: &quot;- Improved access to quality cancer care in underserved regions\n- Reduced financial burden on patients requiring life-saving medications&quot;"/>
    <s v=" &quot;explanation&quot;: &quot;- Establish Day Care Cancer Centres in all district hospitals over the next three years\n- Exempt 36 life-saving cancer drugs from customs duty&quot;}&quot;"/>
    <x v="0"/>
    <x v="2"/>
    <x v="0"/>
  </r>
  <r>
    <n v="4"/>
    <s v="Hundred Per Cent Skilled Labour with Meaningful Employment"/>
    <s v="Initiatives to achieve full skilled employment through intensive skill-development programs and employment generation across various sectors."/>
    <s v="{affects&quot;: &quot;- Youth gain relevant skills for employment\n- Increased job opportunities in diverse sectors\n- Economic growth through a skilled workforce&quot;"/>
    <s v=" &quot;explanation&quot;: &quot;- Organize intensive skill-development programs for youth\n- Create employment opportunities in sectors like tourism"/>
    <x v="2"/>
    <x v="2"/>
    <x v="0"/>
  </r>
  <r>
    <n v="5"/>
    <s v="Seventy Per Cent Women in Economic Activities"/>
    <s v="Initiatives to increase women's participation in the workforce from the current 40.3% to 70%, including enhanced gender-focused budget allocations and support for women entrepreneurs."/>
    <s v="{affects&quot;: &quot;- Women gain increased access to financial resources and entrepreneurial support\n- Enhanced skill development programs lead to higher employability of women\n- Overall economic growth through increased female labor force participation&quot;"/>
    <s v=" &quot;explanation&quot;: &quot;- Increase Gender Budget allocation to 8.86% of the total budget\n- Provide term loans up to INR 2 crore for first-time women entrepreneurs over the next five years\n- Support skill development and employment opportunities for women&quot;}&quot;"/>
    <x v="2"/>
    <x v="3"/>
    <x v="0"/>
  </r>
  <r>
    <n v="6"/>
    <s v="Farmers Making Our Country the Food Basket of the World&quot;&quot;"/>
    <s v="Initiatives to enhance agricultural productivity and export potential, positioning India as a leading global food supplier."/>
    <s v="{affects&quot;: &quot;- Farmers benefit from improved resources and market access\n- Strengthened agricultural supply chains\n- Enhanced global competitiveness of Indian agriculture&quot;"/>
    <s v=" &quot;explanation&quot;: &quot;- Increase budget allocation for agriculture by over 15% to $20 billion\n- Develop high-yielding seed varieties and improve storage infrastructure\n- Aim to boost farm exports to $80 billion by 2030&quot;}&quot;"/>
    <x v="2"/>
    <x v="4"/>
    <x v="0"/>
  </r>
  <r>
    <n v="7"/>
    <s v="Union Budget 2025-2026 Financial Estimates"/>
    <s v="The total receipts, excluding borrowings, are estimated at â‚¹34.96 lakh crore, while the total expenditure is projected at â‚¹50.65 lakh crore for the fiscal year 2025-2026."/>
    <s v="{affects&quot;: &quot;- Reflects the government's fiscal policy and budgetary allocations for various sectors&quot;"/>
    <s v=" &quot;explanation&quot;: &quot;- Total receipts (excluding borrowings): â‚¹34.96 lakh crore\n- Total expenditure: â‚¹50.65 lakh crore&quot;}&quot;"/>
    <x v="0"/>
    <x v="5"/>
    <x v="0"/>
  </r>
  <r>
    <n v="8"/>
    <s v="Union Budget 2025-2026 Net Tax Receipts"/>
    <s v="The net tax receipts for the fiscal year 2025-2026 are estimated at â‚¹28.37 lakh crore."/>
    <s v="{affects&quot;: &quot;- Indicates the government's revenue from taxes after transfers to states&quot;"/>
    <s v=" &quot;explanation&quot;: &quot;- Net tax receipts: â‚¹28.37 lakh crore&quot;}&quot;"/>
    <x v="0"/>
    <x v="5"/>
    <x v="0"/>
  </r>
  <r>
    <n v="9"/>
    <s v="Union Budget 2025-2026 Fiscal Deficit Estimate"/>
    <s v="The fiscal deficit for the fiscal year 2025-2026 is estimated to be 4.4% of GDP."/>
    <s v="{affects&quot;: &quot;- A high fiscal deficit can lead to inflation"/>
    <s v=" affecting the cost of living for citizens.\n- It influences interest rates"/>
    <x v="0"/>
    <x v="2"/>
    <x v="0"/>
  </r>
  <r>
    <n v="10"/>
    <s v="Union Budget 2025-2026 Gross Market Borrowings"/>
    <s v="The government plans to borrow â‚¹14.82 lakh crore from the market in the fiscal year 2025-2026 to finance its expenditure."/>
    <s v="{affects&quot;: &quot;- Investors and financial institutions have opportunities to invest in government securities.\n- Proper management of borrowings can lead to stable interest rates"/>
    <s v=" affecting loans and savings for the general public.\n- Ensures funding for infrastructure projects"/>
    <x v="0"/>
    <x v="2"/>
    <x v="0"/>
  </r>
  <r>
    <n v="11"/>
    <s v="Union Budget 2025-2026 Capital Expenditure Allocation"/>
    <s v="The government has allocated â‚¹11.21 lakh crore for capital expenditure in the fiscal year 2025-2026, constituting 3.1% of the GDP."/>
    <s v="{affects&quot;: &quot;- Citizens may experience better infrastructure"/>
    <s v=" leading to improved quality of life.\n- Job opportunities may increase due to new projects and developments.\n- Businesses could benefit from enhanced logistics and facilities"/>
    <x v="0"/>
    <x v="2"/>
    <x v="0"/>
  </r>
  <r>
    <n v="12"/>
    <s v="Prime Minister Dhan-Dhaanya Krishi Yojana - Developing Agri Districts Programme"/>
    <s v="A new initiative targeting 100 districts with low agricultural productivity to enhance farming practices and support 1.7 crore farmers."/>
    <s v="{affects&quot;: &quot;- Farmers in the selected districts will receive better resources and support.\n- Increased crop yields and diversified farming can lead to higher incomes.\n- Improved storage and irrigation facilities will reduce post-harvest losses and enhance crop quality.&quot;"/>
    <s v=" &quot;explanation&quot;: &quot;- The programme aims to improve agricultural productivity in 100 identified districts.\n- It focuses on adopting crop diversification and sustainable farming practices.\n- Enhances post-harvest storage at the panchayat and block levels.\n- Improves irrigation facilities and provides access to both long-term and short-term credit for farmers.&quot;}&quot;"/>
    <x v="0"/>
    <x v="6"/>
    <x v="0"/>
  </r>
  <r>
    <n v="13"/>
    <s v="Building Rural Prosperity and Resilience"/>
    <s v="A comprehensive initiative aimed at enhancing agricultural productivity, promoting sustainable farming practices, and improving rural infrastructure to boost the rural economy and livelihoods."/>
    <s v="{affects&quot;: &quot;- Farmers will benefit from increased productivity and income. \n- Rural communities will experience improved infrastructure and services. \n- The overall economy may see growth due to enhanced rural demand and reduced urban-rural disparities.&quot;"/>
    <s v=" &quot;explanation&quot;: &quot;- The initiative focuses on: \n  1. Enhancing agricultural productivity through modern techniques and high-yield seeds. \n  2. Promoting crop diversification and sustainable agriculture to ensure environmental balance. \n  3. Improving post-harvest infrastructure"/>
    <x v="0"/>
    <x v="6"/>
    <x v="0"/>
  </r>
  <r>
    <n v="14"/>
    <s v="Mission for Aatmanirbharta in Pulses"/>
    <s v="A six-year mission aimed at achieving self-reliance in pulses production, focusing on key varieties such as Tur, Urad, and Masoor."/>
    <s v="{affects&quot;: &quot;- Farmers will benefit from assured procurement and remunerative prices"/>
    <s v=" leading to increased income stability.\n- Consumers can expect a more stable supply of pulses"/>
    <x v="2"/>
    <x v="7"/>
    <x v="0"/>
  </r>
  <r>
    <n v="15"/>
    <s v="Comprehensive Programme for Vegetables &amp; Fruits"/>
    <s v="A nationwide initiative to enhance the production, supply chain efficiency, processing capabilities, and ensure fair prices for farmers engaged in cultivating vegetables and fruits."/>
    <s v="{affects&quot;: &quot;- Farmers: Access to better infrastructure"/>
    <s v=" training"/>
    <x v="2"/>
    <x v="8"/>
    <x v="0"/>
  </r>
  <r>
    <n v="16"/>
    <s v="Makhana Board in Bihar"/>
    <s v="Establishment of a dedicated board to enhance the production, processing, value addition, and marketing of makhana in Bihar."/>
    <s v="{affects&quot;: &quot;- Makhana farmers in Bihar will receive support to enhance their production and income.\n- The local economy is expected to benefit from increased makhana-related activities.\n- Consumers may have access to better quality and a wider variety of makhana products.&quot;"/>
    <s v=" &quot;explanation&quot;: &quot;- Makhana"/>
    <x v="2"/>
    <x v="8"/>
    <x v="1"/>
  </r>
  <r>
    <n v="17"/>
    <s v="National Mission on High Yielding Seeds"/>
    <s v="A mission aimed at strengthening the research ecosystem and promoting the development and distribution of high-yielding, pest-resistant, and climate-resilient seed varieties."/>
    <s v="{affects&quot;: &quot;- Farmers will have access to better seed varieties"/>
    <s v=" leading to increased crop yields and income. \n- The agricultural sector will benefit from improved resilience against pests and climate challenges. \n- Consumers may experience more stable food prices due to enhanced crop production.&quot;"/>
    <x v="2"/>
    <x v="9"/>
    <x v="0"/>
  </r>
  <r>
    <n v="18"/>
    <s v="Fisheries Development Initiative"/>
    <s v="A comprehensive program aimed at unlocking the untapped potential of India's marine sector, enhancing seafood exports, and supporting the livelihoods of those involved in fisheries."/>
    <s v="{affects&quot;: &quot;- Fishermen and fish farmers will benefit from improved infrastructure"/>
    <s v=" access to modern technology"/>
    <x v="2"/>
    <x v="10"/>
    <x v="0"/>
  </r>
  <r>
    <n v="19"/>
    <s v="Mission for Cotton Productivity"/>
    <s v="A 5-year mission to enhance cotton productivity and sustainability, focusing on promoting extra-long staple cotton varieties and strengthening the textile value chain."/>
    <s v="{affects&quot;: &quot;- Farmers gain access to better seeds and improved cultivation techniques.\n- Textile manufacturers benefit from higher-quality cotton.\n- Exporters and the economy gain from a strengthened textile sector.&quot;"/>
    <s v=" &quot;explanation&quot;: &quot;- A long-term initiative to boost cotton yield and improve sustainability.\n- Focus on extra-long staple cotton to enhance quality.\n- Support through scientific advancements and modern farming techniques.\n- Aligns with the 5F principle: Farm to Fibre to Factory to Fashion to Foreign.&quot;}&quot;"/>
    <x v="2"/>
    <x v="11"/>
    <x v="0"/>
  </r>
  <r>
    <n v="20"/>
    <s v="Enhanced Credit through Kisan Credit Card (KCC)"/>
    <s v="The government has increased the loan limit under the Modified Interest Subvention Scheme from â‚¹3 lakh to â‚¹5 lakh for loans taken through the KCC, benefiting farmers, fishermen, and dairy farmers."/>
    <s v="{affects&quot;: &quot;- Farmers"/>
    <s v=" fishermen"/>
    <x v="2"/>
    <x v="12"/>
    <x v="0"/>
  </r>
  <r>
    <n v="21"/>
    <s v="Urea Plant in Assam"/>
    <s v="Establishment of a urea plant with an annual capacity of 12.7 lakh metric tons at Namrup, Assam, to enhance domestic urea production and achieve self-reliance."/>
    <s v="{affects&quot;: &quot;- Farmers in Assam and neighboring regions will benefit from improved access to urea"/>
    <s v=" leading to enhanced crop yields.\n- The initiative is expected to boost the local economy through job creation and infrastructure development.\n- Nationally"/>
    <x v="2"/>
    <x v="13"/>
    <x v="2"/>
  </r>
  <r>
    <n v="22"/>
    <s v="Revision in Classification Criteria for MSMEs"/>
    <s v="Enhancement of investment and turnover limits for MSME classification to 2.5 and 2 times respectively, aiming to boost efficiency, technological advancement, and capital access."/>
    <s v="{affects&quot;: &quot;- MSMEs will find it easier to expand and innovate due to relaxed classification thresholds.\n- Enhanced access to credit and government schemes tailored for MSMEs.\n- Potential for increased employment opportunities and economic growth in the MSME sector.&quot;"/>
    <s v=" &quot;explanation&quot;: &quot;- The government has revised the criteria for classifying Micro"/>
    <x v="2"/>
    <x v="14"/>
    <x v="0"/>
  </r>
  <r>
    <n v="23"/>
    <s v="Credit Cards for Micro Enterprises"/>
    <s v="Introduction of customized Credit Cards with a â‚¹5 lakh limit for micro enterprises registered on the Udyam portal, aiming to enhance financial accessibility and operational efficiency."/>
    <s v="{affects&quot;: &quot;- Micro enterprise owners will benefit from improved access to formal credit"/>
    <s v=" enabling them to manage operational expenses more effectively.\n- The initiative is expected to reduce reliance on informal lending sources"/>
    <x v="2"/>
    <x v="14"/>
    <x v="0"/>
  </r>
  <r>
    <n v="24"/>
    <s v="Fund of Funds for Startups (FFS)"/>
    <s v="The government has established the Fund of Funds for Startups (FFS) with a corpus of â‚¹10,000 crore to provide financial support to startups through Alternative Investment Funds (AIFs)."/>
    <s v="{affects&quot;: &quot;- Startups across various sectors receive financial support"/>
    <s v=" enabling them to scale operations and innovate.\n- The startup ecosystem benefits from increased investment"/>
    <x v="2"/>
    <x v="14"/>
    <x v="0"/>
  </r>
  <r>
    <n v="25"/>
    <s v="Scheme for First-time Entrepreneurs"/>
    <s v="A new scheme to provide term loans up to â‚¹2 crore over the next 5 years to 5 lakh first-time entrepreneurs, including women and individuals from Scheduled Castes and Scheduled Tribes."/>
    <s v="{affects&quot;: &quot;- Aspiring entrepreneurs will have improved access to financial resources"/>
    <s v=" enabling them to start and scale their businesses.\n- The initiative is expected to stimulate economic development by encouraging the establishment of new enterprises across various sectors.&quot;"/>
    <x v="2"/>
    <x v="14"/>
    <x v="0"/>
  </r>
  <r>
    <n v="26"/>
    <s v="Focus Product Scheme for Footwear &amp; Leather Sectors"/>
    <s v="A scheme aimed at enhancing productivity, quality, and competitiveness in India's footwear and leather sectors by supporting design capacity, component manufacturing, and machinery for both leather and non-leather products."/>
    <s v="{affects&quot;: &quot;- Entrepreneurs and businesses in the footwear and leather sectors will benefit from increased support for design and manufacturing capabilities.\n- The initiative is expected to create approximately 2.2 million jobs"/>
    <s v=" providing significant employment opportunities.\n- With a projected turnover of â‚¹4 lakh crore and exports exceeding â‚¹1.1 lakh crore"/>
    <x v="2"/>
    <x v="15"/>
    <x v="0"/>
  </r>
  <r>
    <n v="27"/>
    <s v="Measures for the Toy Sector"/>
    <s v="A scheme aimed at making India a global hub for toy manufacturing by developing clusters, enhancing skills, and creating a robust manufacturing ecosystem for high-quality, innovative, and sustainable toys."/>
    <s v="{affects&quot;: &quot;- Entrepreneurs and businesses in the toy manufacturing sector will benefit from increased support and infrastructure development.\n- The initiative is expected to generate significant employment opportunities within the industry.\n- Consumers will have access to a diverse range of high-quality and innovative toys"/>
    <s v=" reflecting Indian culture and values.&quot;"/>
    <x v="2"/>
    <x v="15"/>
    <x v="0"/>
  </r>
  <r>
    <n v="28"/>
    <s v="Support for Food Processing"/>
    <s v="Establishment of a National Institute of Food Technology, Entrepreneurship, and Management in Bihar to enhance food processing capabilities, promote entrepreneurship, and provide advanced training and research opportunities in the sector."/>
    <s v="{affects&quot;: &quot;- Entrepreneurs and businesses in the food processing industry will benefit from access to advanced training and research facilities.\n- The initiative is expected to generate employment opportunities"/>
    <s v=" contributing to economic growth in the region.\n- Farmers may experience increased demand for their produce"/>
    <x v="0"/>
    <x v="16"/>
    <x v="0"/>
  </r>
  <r>
    <n v="29"/>
    <s v="Manufacturing Mission - Furthering Make in India&quot;&quot;"/>
    <s v="A National Manufacturing Mission aimed at providing policy support, execution roadmaps, and a governance framework to enhance the manufacturing sector across small, medium, and large industries, thereby promoting the Make in India&quot; initiative.&quot;"/>
    <s v="{affects&quot;: &quot;- Entrepreneurs and businesses across various manufacturing sectors will benefit from streamlined policies and support mechanisms.\n- The initiative is expected to generate employment opportunities"/>
    <s v=" contributing to economic growth and development.\n- Consumers may experience increased availability of domestically produced goods"/>
    <x v="2"/>
    <x v="17"/>
    <x v="0"/>
  </r>
  <r>
    <n v="30"/>
    <s v="Investing in People"/>
    <s v="A key pillar of Indiaâ€™s development strategy that focuses on enhancing human capital through quality education, improved healthcare, and robust skill development initiatives."/>
    <s v="{affects&quot;: &quot;- Students"/>
    <s v=" job seekers"/>
    <x v="0"/>
    <x v="18"/>
    <x v="0"/>
  </r>
  <r>
    <n v="31"/>
    <s v="Saksham Anganwadi and Poshan 2.0"/>
    <s v="An initiative aimed at strengthening Anganwadi centers by integrating them with the Poshan 2.0 framework to improve nutritional outcomes for mothers and young children."/>
    <s v="{affects&quot;: &quot;- Pregnant women"/>
    <s v=" lactating mothers"/>
    <x v="3"/>
    <x v="19"/>
    <x v="0"/>
  </r>
  <r>
    <n v="32"/>
    <s v="Atal Tinkering Labs"/>
    <s v="A government initiative under the Atal Innovation Mission to set up innovation labs in schools, fostering creativity, scientific thinking, and problem-solving skills among students."/>
    <s v="{affects&quot;: &quot;- Students gain practical exposure to science and technology"/>
    <s v=" enhancing their learning and creativity.\n- Educators receive additional resources and training to foster an innovative teaching environment.&quot;"/>
    <x v="2"/>
    <x v="20"/>
    <x v="0"/>
  </r>
  <r>
    <n v="33"/>
    <s v="Broadband Connectivity to Government Secondary Schools and PHCs"/>
    <s v="An initiative to provide high-speed broadband connectivity to government secondary schools and Primary Health Centres (PHCs) to support digital education and improved healthcare service delivery."/>
    <s v="{affects&quot;: &quot;- Students and educators benefit from access to online educational resources and digital learning tools.\n- Healthcare providers can utilize digital technologies to improve patient care and health management.&quot;"/>
    <s v=" &quot;explanation&quot;: &quot;- This feature ensures that schools and health centres are equipped with reliable broadband as part of the Digital India initiative.\n- Enhanced connectivity supports digital classrooms and telemedicine"/>
    <x v="0"/>
    <x v="21"/>
    <x v="0"/>
  </r>
  <r>
    <n v="34"/>
    <s v="Bharatiya Bhasha Pustak Scheme"/>
    <s v="A government initiative to promote literature in Indian languages by supporting the publication and wider dissemination of books in regional languages."/>
    <s v="{affects&quot;: &quot;- Authors and publishers benefit from targeted support to produce and distribute regional language books.\n- Readers across the country gain improved access to a wide range of literary works in their native languages.&quot;"/>
    <s v=" &quot;explanation&quot;: &quot;- This scheme is designed to preserve and promote Indiaâ€™s rich linguistic heritage by financially and logistically supporting publishers and authors working in regional languages.\n- It aims to enhance access to quality literature that reflects Indiaâ€™s diverse cultural traditions.&quot;}&quot;"/>
    <x v="0"/>
    <x v="22"/>
    <x v="0"/>
  </r>
  <r>
    <n v="35"/>
    <s v="National Centres of Excellence for Skilling"/>
    <s v="An initiative to establish centers of excellence that provide advanced and industry-relevant skill development training across various sectors, supporting the governmentâ€™s Skill India mission."/>
    <s v="{affects&quot;: &quot;- Job seekers and existing workers benefit from high-quality skill development"/>
    <s v=" increasing their employability and career advancement prospects.\n- Industries receive a more skilled workforce"/>
    <x v="2"/>
    <x v="23"/>
    <x v="0"/>
  </r>
  <r>
    <n v="36"/>
    <s v="Expansion of Capacity in IITs"/>
    <s v="An initiative to expand the capacity of Indian Institutes of Technology (IITs) by increasing seats, enhancing infrastructure, and upgrading research facilities to meet growing demand and maintain global standards in technical education."/>
    <s v="{affects&quot;: &quot;- Prospective and current students benefit from more opportunities to access world-class technical education.\n- Researchers and industry stakeholders may experience enhanced collaboration and innovation due to improved academic facilities.&quot;"/>
    <s v=" &quot;explanation&quot;: &quot;- The government plans to boost the capacity of IITs by expanding infrastructure"/>
    <x v="2"/>
    <x v="24"/>
    <x v="0"/>
  </r>
  <r>
    <n v="37"/>
    <s v="Centre of Excellence in AI for Education"/>
    <s v="A government initiative to establish a Centre of Excellence focused on integrating Artificial Intelligence (AI) into the education sector to enhance teaching, learning, and policy-making."/>
    <s v="{affects&quot;: &quot;- Educators and students gain access to innovative teaching tools and digital resources that can personalize learning experiences.\n- Policymakers can utilize data and insights from AI research to better design education reforms.&quot;"/>
    <s v=" &quot;explanation&quot;: &quot;- This centre will explore and deploy AI technologies in education to improve learning outcomes"/>
    <x v="2"/>
    <x v="20"/>
    <x v="0"/>
  </r>
  <r>
    <n v="38"/>
    <s v="Expansion of Medical Education"/>
    <s v="An initiative to broaden the scope of medical education by establishing new institutions, increasing seat availability, and modernizing infrastructure to meet contemporary healthcare needs."/>
    <s v="{affects&quot;: &quot;- Aspiring medical students benefit from increased opportunities to pursue medical education.\n- The healthcare system gains from a better-qualified workforce"/>
    <s v=" which can lead to improved healthcare services and outcomes.&quot;"/>
    <x v="2"/>
    <x v="25"/>
    <x v="0"/>
  </r>
  <r>
    <n v="39"/>
    <s v="Day Care Cancer Centres in all District Hospitals"/>
    <s v="A government initiative to set up specialized Day Care Cancer Centres in every district hospital, offering accessible and affordable cancer diagnosis, treatment, and palliative care services."/>
    <s v="{affects&quot;: &quot;- Cancer patients and their families benefit from reduced travel and waiting times"/>
    <s v=" as well as improved access to specialized care.\n- Local healthcare providers are equipped to deliver focused cancer treatment"/>
    <x v="0"/>
    <x v="2"/>
    <x v="0"/>
  </r>
  <r>
    <n v="40"/>
    <s v="Strengthening Urban Livelihoods"/>
    <s v="A comprehensive initiative aimed at enhancing the economic and social well-being of urban populations through skill development, entrepreneurship support, and improved urban infrastructure."/>
    <s v="{affects&quot;: &quot;- Urban workers"/>
    <s v=" especially those in low-income groups"/>
    <x v="2"/>
    <x v="2"/>
    <x v="3"/>
  </r>
  <r>
    <n v="41"/>
    <s v="PM SVANidhi"/>
    <s v="A scheme aimed at providing affordable working capital loans to street vendors to help sustain and expand their businesses, thereby supporting the informal sector."/>
    <s v="{affects&quot;: &quot;- Street vendors can access funds more easily"/>
    <s v=" which helps them keep their businesses running smoothly.\n- The financial support helps improve the quality of services and products offered by vendors.\n- It strengthens the overall informal sector by reducing the financial challenges faced by small business owners.\n- Over time"/>
    <x v="2"/>
    <x v="26"/>
    <x v="0"/>
  </r>
  <r>
    <n v="42"/>
    <s v="Social Security Scheme for Welfare of Online Platform Workers"/>
    <s v="A scheme designed to extend social security benefitsâ€”including health insurance, accident coverage, and pension schemesâ€”to workers in the online platform and gig economy."/>
    <s v="{affects&quot;: &quot;- Workers engaged in the gig economy"/>
    <s v=" such as delivery personnel"/>
    <x v="2"/>
    <x v="2"/>
    <x v="0"/>
  </r>
  <r>
    <n v="43"/>
    <s v="Public Private Partnership in Infrastructure"/>
    <s v="A government initiative to leverage public-private partnerships (PPP) for developing and maintaining key infrastructure projects."/>
    <s v="{affects&quot;: &quot;- Accelerates infrastructure development and modernization.\n- Offers investment opportunities for private firms.\n- Optimizes the use of public funds and resources.\n- Enhances public access to quality infrastructure.&quot;"/>
    <s v=" &quot;explanation&quot;: &quot;- Promotes collaboration between the government and private sector for infrastructure development.\n- Focuses on risk-sharing"/>
    <x v="0"/>
    <x v="27"/>
    <x v="0"/>
  </r>
  <r>
    <n v="44"/>
    <s v="Support to States for Infrastructure"/>
    <s v="A dedicated scheme providing financial and technical support to state governments for upgrading and developing critical infrastructure."/>
    <s v="{affects&quot;: &quot;- Enhances state capacity to implement large-scale projects.\n- Improves local public services and connectivity.\n- Stimulates regional economic growth.\n- Attracts further private and institutional investments.&quot;"/>
    <s v=" &quot;explanation&quot;: &quot;- Allocates targeted funds to state governments for key infrastructure projects.\n- Provides technical assistance and capacity building in line with official guidelines.\n- Focuses on transportation"/>
    <x v="0"/>
    <x v="2"/>
    <x v="0"/>
  </r>
  <r>
    <n v="45"/>
    <s v="Asset Monetization Plan 2025-30"/>
    <s v="A strategic initiative to unlock the value of public assets by monetizing them, thereby generating additional revenue for the government."/>
    <s v="{affects&quot;: &quot;- Provides the government with new funds that can be reinvested in critical infrastructure and social projects.\n- Opens up opportunities for private investors to participate in or benefit from these assets.\n- Improves overall financial management by diversifying the sources of government revenue.\n- Helps support long-term economic growth by funding future public investments.&quot;"/>
    <s v=" &quot;explanation&quot;: &quot;- This plan looks at government-owned properties such as land"/>
    <x v="2"/>
    <x v="27"/>
    <x v="0"/>
  </r>
  <r>
    <n v="46"/>
    <s v="Jal Jeevan Mission"/>
    <s v="A flagship initiative aimed at providing safe and adequate drinking water to every rural household through individual household tap connections."/>
    <s v="{affects&quot;: &quot;- Improves health and hygiene in rural communities.\n- Reduces waterborne diseases through reliable water access.\n- Enhances the quality of life in rural areas.\n- Strengthens overall rural infrastructure and development.&quot;"/>
    <s v=" &quot;explanation&quot;: &quot;- Ensures the creation of sustainable water infrastructure in rural areas.\n- Guarantees potable water supply to every household as per Ministry of Jal Shakti guidelines.\n- Utilizes technology for water quality monitoring and efficient management.\n- Integrates with broader rural development and health improvement strategies.&quot;}&quot;"/>
    <x v="0"/>
    <x v="2"/>
    <x v="0"/>
  </r>
  <r>
    <n v="47"/>
    <s v="Urban Challenge Fund"/>
    <s v="A competitive grant scheme designed to encourage innovative solutions for addressing urban challenges in Indian cities."/>
    <s v="{affects&quot;: &quot;- Enhances urban public services and infrastructure.\n- Empowers local governments to implement creative solutions.\n- Improves the quality of urban life for residents.\n- Drives sustainable economic growth in urban areas.&quot;"/>
    <s v=" &quot;explanation&quot;: &quot;- Provides financial support for innovative projects addressing urban issues like waste management and mobility.\n- Encourages sustainable and inclusive solutions as outlined in official urban development policies.\n- Utilizes a competitive selection process to fund projects with measurable impact.\n- Focuses on modernizing urban infrastructure and services.&quot;}&quot;"/>
    <x v="0"/>
    <x v="28"/>
    <x v="3"/>
  </r>
  <r>
    <n v="48"/>
    <s v="Nuclear Energy Mission for Viksit Bharat"/>
    <s v="A mission aimed at expanding Indiaâ€™s nuclear power capacity and enhancing energy security as part of the broader strategy for a developed Bharat."/>
    <s v="{affects&quot;: &quot;- Provides a stable and diversified energy supply for industrial and residential use.\n- Benefits the energy sector with opportunities for innovation and job creation.\n- Contributes to long-term economic stability by reducing import dependency.\n- Enhances national security through a robust energy infrastructure.&quot;"/>
    <s v=" &quot;explanation&quot;: &quot;- Expands nuclear power capacity to diversify Indiaâ€™s energy mix.\n- Focuses on advanced reactor technology and stringent safety measures.\n- Aligns with official plans to reduce carbon emissions and dependence on fossil fuels.\n- Seeks to enhance energy security and support sustainable development.&quot;}&quot;"/>
    <x v="0"/>
    <x v="2"/>
    <x v="0"/>
  </r>
  <r>
    <n v="49"/>
    <s v="Shipbuilding"/>
    <s v="An initiative to bolster domestic shipbuilding capabilities under the â€œMake in Indiaâ€ framework, focusing on both defense and commercial sectors."/>
    <s v="{affects&quot;: &quot;- Strengthens national security through enhanced indigenous warship production.\n- Creates employment opportunities and skill development in maritime engineering.\n- Boosts local industries and coastal economic growth.\n- Improves Indiaâ€™s competitiveness in global maritime trade.&quot;"/>
    <s v=" &quot;explanation&quot;: &quot;- Increases domestic production capacity for both commercial and defense vessels.\n- Promotes technology transfer and modernization of shipbuilding practices.\n- Encourages public-private partnerships for efficient project execution.\n- Aims to reduce import dependency and boost export potential.&quot;}&quot;"/>
    <x v="0"/>
    <x v="2"/>
    <x v="0"/>
  </r>
  <r>
    <n v="50"/>
    <s v="Maritime Development Fund"/>
    <s v="A dedicated fund established to finance maritime infrastructure and port modernization projects, supporting the growth of Indiaâ€™s maritime trade."/>
    <s v="{affects&quot;: &quot;- Improves efficiency and competitiveness of Indiaâ€™s ports and logistics.\n- Benefits shipping companies and local businesses with enhanced infrastructure.\n- Stimulates regional economic development in coastal areas.\n- Creates job opportunities in the maritime and logistics sectors.&quot;"/>
    <s v=" &quot;explanation&quot;: &quot;- Provides financial support for port upgrades and maritime infrastructure projects.\n- Encourages public-private partnerships to enhance operational efficiency.\n- Focuses on modernizing logistics and connectivity for maritime trade.\n- Follows guidelines issued by relevant government authorities.&quot;}&quot;"/>
    <x v="0"/>
    <x v="29"/>
    <x v="0"/>
  </r>
  <r>
    <n v="51"/>
    <s v="UDAN - Regional Connectivity Scheme"/>
    <s v="A flagship initiative aimed at enhancing regional air connectivity by subsidizing flights to underserved regions, thereby boosting regional development."/>
    <s v="{affects&quot;: &quot;- Reduces travel costs and increases mobility for regional populations.\n- Stimulates local business"/>
    <s v=" tourism"/>
    <x v="0"/>
    <x v="2"/>
    <x v="0"/>
  </r>
  <r>
    <n v="52"/>
    <s v="Greenfield Airport in Bihar"/>
    <s v="A project to establish a modern greenfield airport in Bihar, aimed at improving regional air connectivity and supporting local economic development."/>
    <s v="{affects&quot;: &quot;- Enhances travel options and reduces transit times for Bihar residents.\n- Drives regional economic growth through improved logistics and tourism.\n- Creates job opportunities in construction"/>
    <s v=" aviation"/>
    <x v="0"/>
    <x v="2"/>
    <x v="1"/>
  </r>
  <r>
    <n v="53"/>
    <s v="Western Koshi Canal Project in Mithilanchal"/>
    <s v="A major water resources development project aimed at enhancing irrigation, flood control, and water supply in the Mithilanchal region."/>
    <s v="{affects&quot;: &quot;- Benefits local farmers through improved irrigation infrastructure.\n- Reduces flood risks and associated damages.\n- Boosts agricultural productivity and food security.\n- Supports sustainable water management in the region.&quot;"/>
    <s v=" &quot;explanation&quot;: &quot;- Optimizes water management by channeling Western Koshi flows.\n- Enhances irrigation potential to improve agricultural productivity.\n- Incorporates flood mitigation measures to protect vulnerable communities.\n- Aligns with national water resource development policies.&quot;}&quot;"/>
    <x v="2"/>
    <x v="30"/>
    <x v="4"/>
  </r>
  <r>
    <n v="54"/>
    <s v="Mining Sector Reforms"/>
    <s v="A series of policy measures aimed at modernizing the mining sector to promote sustainable development, transparency, and increased revenue."/>
    <s v="{affects&quot;: &quot;- Provides a clearer framework for investors and mining companies.\n- Improves employment prospects in the mining and ancillary sectors.\n- Ensures environmental protection alongside economic growth.\n- Contributes to sustainable resource management.&quot;"/>
    <s v=" &quot;explanation&quot;: &quot;- Streamlines regulatory procedures to ensure transparency in mining operations.\n- Encourages sustainable and responsible mining practices.\n- Promotes modernization and technological upgrades in the sector.\n- Aims to enhance revenue generation while safeguarding environmental interests.&quot;}&quot;"/>
    <x v="2"/>
    <x v="31"/>
    <x v="0"/>
  </r>
  <r>
    <n v="55"/>
    <s v="SWAMIH Fund 2"/>
    <s v="A government fund designed to support the modernization and expansion of small and micro enterprises through targeted financial assistance and capacity building."/>
    <s v="{affects&quot;: &quot;- Enhances access to finance for small and micro enterprises.\n- Drives technological and operational upgrades.\n- Creates employment opportunities and fosters economic growth.\n- Strengthens the competitiveness of domestic enterprises.&quot;"/>
    <s v=" &quot;explanation&quot;: &quot;- Represents the second phase of the SWAMIH initiative for small enterprises.\n- Provides financial support for technology adoption and modernization.\n- Focuses on capacity building and market access improvement.\n- Implements transparent fund allocation processes as per official guidelines.&quot;}&quot;"/>
    <x v="2"/>
    <x v="32"/>
    <x v="0"/>
  </r>
  <r>
    <n v="56"/>
    <s v="Tourism for Employment-Led Growth"/>
    <s v="A government initiative aimed at developing tourism infrastructure and services to generate employment and spur local economic growth."/>
    <s v="{affects&quot;: &quot;- Generates direct and indirect employment in tourism and hospitality.\n- Increases local economic activity through higher tourist inflows.\n- Provides training and skill development for the local workforce.\n- Enhances the cultural and tourism profile of the region.&quot;"/>
    <s v=" &quot;explanation&quot;: &quot;- Focuses on enhancing tourism infrastructure and promoting local tourism initiatives.\n- Emphasizes skill development and capacity building in the tourism sector.\n- Promotes sustainable tourism practices in line with official policies.\n- Integrates tourism development with local economic growth strategies.&quot;}&quot;"/>
    <x v="2"/>
    <x v="33"/>
    <x v="0"/>
  </r>
  <r>
    <n v="57"/>
    <s v="Research, Development and Innovation"/>
    <s v="A comprehensive initiative aimed at strengthening the nationâ€™s R&amp;D and innovation ecosystem across sectors to drive technological and economic progress."/>
    <s v="{affects&quot;: &quot;- Empowers researchers and innovators with advanced resources.\n- Accelerates commercialization of new technologies.\n- Boosts economic growth by fostering innovation-driven industries.\n- Enhances Indiaâ€™s competitiveness in global research.&quot;"/>
    <s v=" &quot;explanation&quot;: &quot;- Encourages collaboration between academia"/>
    <x v="2"/>
    <x v="34"/>
    <x v="0"/>
  </r>
  <r>
    <n v="58"/>
    <s v="Deep Tech Fund of Funds"/>
    <s v="A dedicated financial initiative designed to channel investments into deep technology startups that work on cutting-edge innovations in areas such as AI, quantum computing, and biotechnology."/>
    <s v="{affects&quot;: &quot;- Helps startups scale up and refine their innovations.\n- Attracts private sector participation in high-tech research.\n- Supports job creation in advanced technology sectors.\n- Enhances Indiaâ€™s reputation as a hub for deep technology innovation.&quot;"/>
    <s v=" &quot;explanation&quot;: &quot;- Provides capital support to emerging deep tech ventures.\n- Encourages investments in breakthrough technological areas through a fund-of-funds model.\n- Facilitates technology transfer and commercialization processes.\n- Follows official guidelines to ensure transparent fund allocation.&quot;}&quot;"/>
    <x v="2"/>
    <x v="35"/>
    <x v="0"/>
  </r>
  <r>
    <n v="59"/>
    <s v="PM Research Fellowship"/>
    <s v="A fellowship program aimed at nurturing early-career researchers by providing financial assistance, mentorship, and the opportunity to work on high-impact research projects aligned with national priorities."/>
    <s v="{affects&quot;: &quot;- Enables emerging researchers to pursue ambitious projects.\n- Strengthens academic-industry collaborations.\n- Contributes to technological advancements and knowledge creation.\n- Enhances Indiaâ€™s global research standing.&quot;"/>
    <s v=" &quot;explanation&quot;: &quot;- Offers financial grants and research support to promising young scientists.\n- Provides mentorship from leading experts across various fields.\n- Encourages innovative research projects that address national challenges.\n- Aligns with the governmentâ€™s agenda for research-led development.&quot;}&quot;"/>
    <x v="2"/>
    <x v="36"/>
    <x v="0"/>
  </r>
  <r>
    <n v="60"/>
    <s v="Gene Bank for Crops Germplasm"/>
    <s v="An initiative focused on preserving the genetic diversity of crops by cataloging and safeguarding germplasm, which is crucial for agricultural innovation and food security."/>
    <s v="{affects&quot;: &quot;- Provides farmers with access to diverse crop varieties that can lead to better yields and disease resistance.\n- Enables researchers to develop improved crops that can thrive in different environmental conditions.\n- Supports food security by ensuring a continuous supply of essential crop varieties.\n- Promotes sustainable agriculture through the preservation of important genetic resources.&quot;"/>
    <s v=" &quot;explanation&quot;: &quot;- Works like a library for crop seeds and genetic material"/>
    <x v="2"/>
    <x v="37"/>
    <x v="0"/>
  </r>
  <r>
    <n v="61"/>
    <s v="National Geospatial Mission"/>
    <s v="A government initiative to create a comprehensive geospatial data infrastructure, supporting enhanced planning, governance, and innovation across various sectors."/>
    <s v="{affects&quot;: &quot;- Gives policymakers and planners the tools to make informed decisions about city planning and resource allocation.\n- Improves public safety by enabling faster and more coordinated responses during disasters.\n- Boosts innovation in technology"/>
    <s v=" as accurate maps are essential for apps and services like navigation and location-based services.\n- Enhances overall governance by using reliable"/>
    <x v="0"/>
    <x v="38"/>
    <x v="0"/>
  </r>
  <r>
    <n v="62"/>
    <s v="Gyan Bharatam Mission"/>
    <s v="A mission aimed at promoting knowledge dissemination and digital literacy by fostering innovative learning solutions, ultimately contributing to a knowledge-based economy."/>
    <s v="{affects&quot;: &quot;- Empowers students and educators with modern digital tools.\n- Improves learning outcomes and academic performance.\n- Facilitates continuous skill enhancement and lifelong learning.\n- Contributes to building a competitive"/>
    <s v=" knowledge-driven economy.&quot;"/>
    <x v="3"/>
    <x v="1"/>
    <x v="0"/>
  </r>
  <r>
    <n v="63"/>
    <s v="Export Promotion Mission"/>
    <s v="A strategic initiative to boost Indiaâ€™s export performance through policy support, market access facilitation, and targeted incentives for export-oriented industries."/>
    <s v="{affects&quot;: &quot;- Increases export revenues and overall economic growth.\n- Enhances market access for SMEs and large exporters alike.\n- Creates job opportunities in export-oriented sectors.\n- Strengthens Indiaâ€™s trade balance by expanding global market outreach.&quot;"/>
    <s v=" &quot;explanation&quot;: &quot;- Provides targeted incentives and financial support to exporters.\n- Focuses on diversifying export products and markets.\n- Encourages public-private partnerships for enhanced export promotion.\n- Aligns with government policies to strengthen Indiaâ€™s global trade presence.&quot;}&quot;"/>
    <x v="2"/>
    <x v="39"/>
    <x v="0"/>
  </r>
  <r>
    <n v="64"/>
    <s v="BharatTradeNet"/>
    <s v="A digital trade platform initiative aimed at streamlining export procedures, providing real-time trade information, and facilitating seamless interactions between exporters and global buyers."/>
    <s v="{affects&quot;: &quot;- Reduces administrative burdens and streamlines export procedures.\n- Improves communication between exporters and international buyers.\n- Increases competitiveness through timely access to trade data.\n- Facilitates a more efficient and transparent export ecosystem.&quot;"/>
    <s v=" &quot;explanation&quot;: &quot;- Serves as a one-stop online platform for export documentation and trade information.\n- Integrates compliance processes and regulatory guidelines into a single interface.\n- Enhances transparency and efficiency in export transactions.\n- Supports exporters by simplifying access to market intelligence and trade resources.&quot;}&quot;"/>
    <x v="2"/>
    <x v="39"/>
    <x v="0"/>
  </r>
  <r>
    <n v="65"/>
    <s v="National Framework for GCC"/>
    <s v="A structured initiative to align Indiaâ€™s export standards with global best practices, ensuring quality, compliance, and competitiveness in international markets."/>
    <s v="{affects&quot;: &quot;- Increases trust in Indian products because they meet internationally recognized quality standards.\n- Opens up new markets for exporters"/>
    <s v=" as buyers around the world feel more confident purchasing certified products.\n- Helps boost the reputation of Indian exports"/>
    <x v="2"/>
    <x v="39"/>
    <x v="0"/>
  </r>
  <r>
    <n v="66"/>
    <s v="FDI in Insurance Sector"/>
    <s v="A reform that allows more foreign direct investment in insurance companies, aiming to improve capital access, bring in global expertise, and enhance competition."/>
    <s v="{affects&quot;: &quot;- Insurance companies receive better access to capital.\n- Consumers benefit from improved and innovative insurance products.\n- Enhances the overall stability and growth of the insurance sector.\n- Supports a more robust financial environment.&quot;"/>
    <s v=" &quot;explanation&quot;: &quot;- Increases the allowed level of foreign investment in insurance firms.\n- Brings global expertise and advanced technology.\n- Aims to boost competition and efficiency in the insurance market.\n- Follows guidelines set by finance and insurance regulators.&quot;}&quot;"/>
    <x v="0"/>
    <x v="27"/>
    <x v="0"/>
  </r>
  <r>
    <n v="67"/>
    <s v="Credit Enhancement Facility by NaBFID"/>
    <s v="A support initiative by NaBFID designed to offer extra guarantees to banks, making it safer for them to lend money."/>
    <s v="{affects&quot;: &quot;- Banks can lend more confidently"/>
    <s v=" increasing access to credit for individuals and businesses.\n- Borrowers may benefit from easier access to loans and potentially lower interest rates.\n- Contributes to overall financial stability by reducing risks in the banking sector.\n- Makes the lending process safer and more efficient for everyone involved.&quot;"/>
    <x v="2"/>
    <x v="40"/>
    <x v="0"/>
  </r>
  <r>
    <n v="68"/>
    <s v="Grameen Credit Score"/>
    <s v="A credit scoring system specially designed to assess the creditworthiness of rural and low-income individuals using alternative data sources."/>
    <s v="{affects&quot;: &quot;- Helps rural and low-income individuals secure loans.\n- Promotes fairer and more transparent loan assessments.\n- Enhances financial inclusion in underserved areas.\n- Builds trust between banks and borrowers.&quot;"/>
    <s v=" &quot;explanation&quot;: &quot;- Uses non-traditional data to generate a credit score for rural borrowers.\n- Aims to improve access to credit for low-income populations.\n- Follows official methods to fairly assess creditworthiness.\n- Supports government efforts to boost financial inclusion.&quot;}&quot;"/>
    <x v="2"/>
    <x v="41"/>
    <x v="0"/>
  </r>
  <r>
    <n v="69"/>
    <s v="Pension Sector"/>
    <s v="A series of reforms aimed at improving the pension system to provide secure, transparent, and adequate retirement benefits for citizens."/>
    <s v="{affects&quot;: &quot;- Provides a more secure retirement income for the working population.\n- Improves transparency in the management of pension funds.\n- Offers better benefits to pensioners.\n- Contributes to overall financial stability for retirees.&quot;"/>
    <s v=" &quot;explanation&quot;: &quot;- Focuses on better management and expansion of pension schemes.\n- Seeks to ensure secure and sufficient retirement income for workers.\n- Enhances transparency in pension fund operations.\n- Adheres to guidelines from pension regulatory authorities.&quot;}&quot;"/>
    <x v="4"/>
    <x v="42"/>
    <x v="0"/>
  </r>
  <r>
    <n v="70"/>
    <s v="High Level Committee for Regulatory Reforms"/>
    <s v="A government committee set up to review and recommend improvements in regulatory policies to create a simpler and more business-friendly environment."/>
    <s v="{affects&quot;: &quot;- Simplifies compliance for businesses and investors.\n- Boosts confidence in the regulatory environment.\n- Leads to more efficient business operations.\n- Supports overall economic growth by reducing administrative burdens.&quot;"/>
    <s v=" &quot;explanation&quot;: &quot;- Reviews current regulatory rules and identifies areas for simplification.\n- Aims to reduce bureaucratic hurdles for businesses.\n- Provides clear"/>
    <x v="2"/>
    <x v="43"/>
    <x v="0"/>
  </r>
  <r>
    <n v="71"/>
    <s v="Investment Friendliness Index of States"/>
    <s v="An index that ranks states based on their ease of doing business, infrastructure quality, and regulatory environment, helping to guide investment decisions."/>
    <s v="{affects&quot;: &quot;- Guides investors toward states with better business conditions.\n- Encourages states to improve their investment climates.\n- Helps policymakers target necessary reforms.\n- Boosts healthy competition among states.&quot;"/>
    <s v=" &quot;explanation&quot;: &quot;- Measures and compares states on ease of doing business and regulatory factors.\n- Evaluates infrastructure"/>
    <x v="2"/>
    <x v="29"/>
    <x v="0"/>
  </r>
  <r>
    <n v="72"/>
    <s v="Jan Vishwas Bill 2.0"/>
    <s v="A new law aimed at making it easier for people and businesses to follow government rules on taxes and other regulations, reducing the burden of paperwork and cost."/>
    <s v="{affects&quot;: &quot;- Reduces the hassle and cost for businesses and individuals in dealing with government rules.\n- Makes it easier for everyone to understand and meet their tax and legal obligations.\n- Builds greater trust in how government rules are enforced.\n- Creates a more user-friendly environment for all citizens.&quot;"/>
    <s v=" &quot;explanation&quot;: &quot;- This law makes it simpler for everyone to follow government rules (called compliance) when paying taxes and meeting other legal requirements.\n- It cuts down on the paperwork and costs that people and businesses usually face.\n- The law is designed to build trust by making the whole process clear and straightforward.\n- It is based on updated official guidelines to ensure that following government rules is less confusing and less expensive.&quot;}&quot;"/>
    <x v="2"/>
    <x v="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DF772-389C-411F-85F8-EDD9D759FD79}" name="PivotTable1" cacheId="73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B16:C58" firstHeaderRow="1" firstDataRow="1" firstDataCol="1"/>
  <pivotFields count="8">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46">
        <item x="1"/>
        <item x="38"/>
        <item x="24"/>
        <item x="36"/>
        <item x="42"/>
        <item x="17"/>
        <item x="41"/>
        <item x="26"/>
        <item x="33"/>
        <item x="35"/>
        <item x="31"/>
        <item x="29"/>
        <item x="28"/>
        <item x="23"/>
        <item x="25"/>
        <item x="18"/>
        <item x="27"/>
        <item x="2"/>
        <item x="10"/>
        <item x="3"/>
        <item x="6"/>
        <item x="37"/>
        <item x="7"/>
        <item x="30"/>
        <item x="15"/>
        <item x="11"/>
        <item x="39"/>
        <item x="14"/>
        <item x="32"/>
        <item x="34"/>
        <item x="16"/>
        <item x="20"/>
        <item x="21"/>
        <item x="5"/>
        <item x="12"/>
        <item x="0"/>
        <item x="19"/>
        <item x="43"/>
        <item x="44"/>
        <item x="40"/>
        <item x="22"/>
        <item x="9"/>
        <item x="13"/>
        <item x="8"/>
        <item x="4"/>
        <item t="default"/>
      </items>
      <autoSortScope>
        <pivotArea dataOnly="0" outline="0" fieldPosition="0">
          <references count="1">
            <reference field="4294967294" count="1" selected="0">
              <x v="0"/>
            </reference>
          </references>
        </pivotArea>
      </autoSortScope>
    </pivotField>
    <pivotField compact="0" outline="0" showAll="0">
      <items count="6">
        <item h="1" x="2"/>
        <item h="1" x="1"/>
        <item h="1" x="4"/>
        <item x="0"/>
        <item h="1" x="3"/>
        <item t="default"/>
      </items>
    </pivotField>
  </pivotFields>
  <rowFields count="1">
    <field x="6"/>
  </rowFields>
  <rowItems count="42">
    <i>
      <x v="17"/>
    </i>
    <i>
      <x v="27"/>
    </i>
    <i>
      <x v="16"/>
    </i>
    <i>
      <x v="26"/>
    </i>
    <i>
      <x v="24"/>
    </i>
    <i>
      <x v="11"/>
    </i>
    <i>
      <x v="31"/>
    </i>
    <i>
      <x v="33"/>
    </i>
    <i>
      <x v="20"/>
    </i>
    <i>
      <x/>
    </i>
    <i>
      <x v="10"/>
    </i>
    <i>
      <x v="35"/>
    </i>
    <i>
      <x v="8"/>
    </i>
    <i>
      <x v="1"/>
    </i>
    <i>
      <x v="39"/>
    </i>
    <i>
      <x v="13"/>
    </i>
    <i>
      <x v="29"/>
    </i>
    <i>
      <x v="14"/>
    </i>
    <i>
      <x v="9"/>
    </i>
    <i>
      <x v="15"/>
    </i>
    <i>
      <x v="37"/>
    </i>
    <i>
      <x v="2"/>
    </i>
    <i>
      <x v="41"/>
    </i>
    <i>
      <x v="3"/>
    </i>
    <i>
      <x v="28"/>
    </i>
    <i>
      <x v="18"/>
    </i>
    <i>
      <x v="30"/>
    </i>
    <i>
      <x v="19"/>
    </i>
    <i>
      <x v="32"/>
    </i>
    <i>
      <x v="4"/>
    </i>
    <i>
      <x v="34"/>
    </i>
    <i>
      <x v="44"/>
    </i>
    <i>
      <x v="36"/>
    </i>
    <i>
      <x v="22"/>
    </i>
    <i>
      <x v="38"/>
    </i>
    <i>
      <x v="5"/>
    </i>
    <i>
      <x v="40"/>
    </i>
    <i>
      <x v="25"/>
    </i>
    <i>
      <x v="43"/>
    </i>
    <i>
      <x v="6"/>
    </i>
    <i>
      <x v="7"/>
    </i>
    <i>
      <x v="21"/>
    </i>
  </rowItems>
  <colItems count="1">
    <i/>
  </colItems>
  <dataFields count="1">
    <dataField name="Professions Affected Count" fld="6" subtotal="count" baseField="0" baseItem="0"/>
  </dataFields>
  <formats count="15">
    <format dxfId="46">
      <pivotArea dataOnly="0" labelOnly="1" outline="0" axis="axisValues" fieldPosition="0"/>
    </format>
    <format dxfId="47">
      <pivotArea field="6" type="button" dataOnly="0" labelOnly="1" outline="0" axis="axisRow" fieldPosition="0"/>
    </format>
    <format dxfId="48">
      <pivotArea dataOnly="0" labelOnly="1" outline="0" axis="axisValues" fieldPosition="0"/>
    </format>
    <format dxfId="49">
      <pivotArea field="6" type="button" dataOnly="0" labelOnly="1" outline="0" axis="axisRow" fieldPosition="0"/>
    </format>
    <format dxfId="50">
      <pivotArea dataOnly="0" labelOnly="1" outline="0" axis="axisValues" fieldPosition="0"/>
    </format>
    <format dxfId="51">
      <pivotArea field="6" type="button" dataOnly="0" labelOnly="1" outline="0" axis="axisRow" fieldPosition="0"/>
    </format>
    <format dxfId="52">
      <pivotArea dataOnly="0" labelOnly="1" outline="0" axis="axisValues" fieldPosition="0"/>
    </format>
    <format dxfId="53">
      <pivotArea field="6" type="button" dataOnly="0" labelOnly="1" outline="0" axis="axisRow" fieldPosition="0"/>
    </format>
    <format dxfId="54">
      <pivotArea dataOnly="0" labelOnly="1" outline="0" axis="axisValues" fieldPosition="0"/>
    </format>
    <format dxfId="55">
      <pivotArea field="6" type="button" dataOnly="0" labelOnly="1" outline="0" axis="axisRow" fieldPosition="0"/>
    </format>
    <format dxfId="56">
      <pivotArea dataOnly="0" labelOnly="1" outline="0" axis="axisValues" fieldPosition="0"/>
    </format>
    <format dxfId="57">
      <pivotArea outline="0" collapsedLevelsAreSubtotals="1" fieldPosition="0"/>
    </format>
    <format dxfId="58">
      <pivotArea dataOnly="0" labelOnly="1" outline="0" fieldPosition="0">
        <references count="1">
          <reference field="6" count="0"/>
        </references>
      </pivotArea>
    </format>
    <format dxfId="59">
      <pivotArea outline="0" collapsedLevelsAreSubtotals="1" fieldPosition="0"/>
    </format>
    <format dxfId="60">
      <pivotArea dataOnly="0" labelOnly="1" outline="0" fieldPosition="0">
        <references count="1">
          <reference field="6" count="0"/>
        </references>
      </pivotArea>
    </format>
  </formats>
  <chartFormats count="4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7"/>
          </reference>
        </references>
      </pivotArea>
    </chartFormat>
    <chartFormat chart="0" format="2">
      <pivotArea type="data" outline="0" fieldPosition="0">
        <references count="2">
          <reference field="4294967294" count="1" selected="0">
            <x v="0"/>
          </reference>
          <reference field="6" count="1" selected="0">
            <x v="27"/>
          </reference>
        </references>
      </pivotArea>
    </chartFormat>
    <chartFormat chart="0" format="3">
      <pivotArea type="data" outline="0" fieldPosition="0">
        <references count="2">
          <reference field="4294967294" count="1" selected="0">
            <x v="0"/>
          </reference>
          <reference field="6" count="1" selected="0">
            <x v="16"/>
          </reference>
        </references>
      </pivotArea>
    </chartFormat>
    <chartFormat chart="0" format="4">
      <pivotArea type="data" outline="0" fieldPosition="0">
        <references count="2">
          <reference field="4294967294" count="1" selected="0">
            <x v="0"/>
          </reference>
          <reference field="6" count="1" selected="0">
            <x v="26"/>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24"/>
          </reference>
        </references>
      </pivotArea>
    </chartFormat>
    <chartFormat chart="0" format="7">
      <pivotArea type="data" outline="0" fieldPosition="0">
        <references count="2">
          <reference field="4294967294" count="1" selected="0">
            <x v="0"/>
          </reference>
          <reference field="6" count="1" selected="0">
            <x v="11"/>
          </reference>
        </references>
      </pivotArea>
    </chartFormat>
    <chartFormat chart="0" format="8">
      <pivotArea type="data" outline="0" fieldPosition="0">
        <references count="2">
          <reference field="4294967294" count="1" selected="0">
            <x v="0"/>
          </reference>
          <reference field="6" count="1" selected="0">
            <x v="31"/>
          </reference>
        </references>
      </pivotArea>
    </chartFormat>
    <chartFormat chart="0" format="9">
      <pivotArea type="data" outline="0" fieldPosition="0">
        <references count="2">
          <reference field="4294967294" count="1" selected="0">
            <x v="0"/>
          </reference>
          <reference field="6" count="1" selected="0">
            <x v="33"/>
          </reference>
        </references>
      </pivotArea>
    </chartFormat>
    <chartFormat chart="0" format="10">
      <pivotArea type="data" outline="0" fieldPosition="0">
        <references count="2">
          <reference field="4294967294" count="1" selected="0">
            <x v="0"/>
          </reference>
          <reference field="6" count="1" selected="0">
            <x v="20"/>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 chart="0" format="12">
      <pivotArea type="data" outline="0" fieldPosition="0">
        <references count="2">
          <reference field="4294967294" count="1" selected="0">
            <x v="0"/>
          </reference>
          <reference field="6" count="1" selected="0">
            <x v="35"/>
          </reference>
        </references>
      </pivotArea>
    </chartFormat>
    <chartFormat chart="0" format="13">
      <pivotArea type="data" outline="0" fieldPosition="0">
        <references count="2">
          <reference field="4294967294" count="1" selected="0">
            <x v="0"/>
          </reference>
          <reference field="6" count="1" selected="0">
            <x v="8"/>
          </reference>
        </references>
      </pivotArea>
    </chartFormat>
    <chartFormat chart="0" format="14">
      <pivotArea type="data" outline="0" fieldPosition="0">
        <references count="2">
          <reference field="4294967294" count="1" selected="0">
            <x v="0"/>
          </reference>
          <reference field="6" count="1" selected="0">
            <x v="1"/>
          </reference>
        </references>
      </pivotArea>
    </chartFormat>
    <chartFormat chart="0" format="15">
      <pivotArea type="data" outline="0" fieldPosition="0">
        <references count="2">
          <reference field="4294967294" count="1" selected="0">
            <x v="0"/>
          </reference>
          <reference field="6" count="1" selected="0">
            <x v="39"/>
          </reference>
        </references>
      </pivotArea>
    </chartFormat>
    <chartFormat chart="0" format="16">
      <pivotArea type="data" outline="0" fieldPosition="0">
        <references count="2">
          <reference field="4294967294" count="1" selected="0">
            <x v="0"/>
          </reference>
          <reference field="6" count="1" selected="0">
            <x v="13"/>
          </reference>
        </references>
      </pivotArea>
    </chartFormat>
    <chartFormat chart="0" format="17">
      <pivotArea type="data" outline="0" fieldPosition="0">
        <references count="2">
          <reference field="4294967294" count="1" selected="0">
            <x v="0"/>
          </reference>
          <reference field="6" count="1" selected="0">
            <x v="29"/>
          </reference>
        </references>
      </pivotArea>
    </chartFormat>
    <chartFormat chart="0" format="18">
      <pivotArea type="data" outline="0" fieldPosition="0">
        <references count="2">
          <reference field="4294967294" count="1" selected="0">
            <x v="0"/>
          </reference>
          <reference field="6" count="1" selected="0">
            <x v="14"/>
          </reference>
        </references>
      </pivotArea>
    </chartFormat>
    <chartFormat chart="0" format="19">
      <pivotArea type="data" outline="0" fieldPosition="0">
        <references count="2">
          <reference field="4294967294" count="1" selected="0">
            <x v="0"/>
          </reference>
          <reference field="6" count="1" selected="0">
            <x v="9"/>
          </reference>
        </references>
      </pivotArea>
    </chartFormat>
    <chartFormat chart="0" format="20">
      <pivotArea type="data" outline="0" fieldPosition="0">
        <references count="2">
          <reference field="4294967294" count="1" selected="0">
            <x v="0"/>
          </reference>
          <reference field="6" count="1" selected="0">
            <x v="15"/>
          </reference>
        </references>
      </pivotArea>
    </chartFormat>
    <chartFormat chart="0" format="21">
      <pivotArea type="data" outline="0" fieldPosition="0">
        <references count="2">
          <reference field="4294967294" count="1" selected="0">
            <x v="0"/>
          </reference>
          <reference field="6" count="1" selected="0">
            <x v="37"/>
          </reference>
        </references>
      </pivotArea>
    </chartFormat>
    <chartFormat chart="0" format="22">
      <pivotArea type="data" outline="0" fieldPosition="0">
        <references count="2">
          <reference field="4294967294" count="1" selected="0">
            <x v="0"/>
          </reference>
          <reference field="6" count="1" selected="0">
            <x v="2"/>
          </reference>
        </references>
      </pivotArea>
    </chartFormat>
    <chartFormat chart="0" format="23">
      <pivotArea type="data" outline="0" fieldPosition="0">
        <references count="2">
          <reference field="4294967294" count="1" selected="0">
            <x v="0"/>
          </reference>
          <reference field="6" count="1" selected="0">
            <x v="41"/>
          </reference>
        </references>
      </pivotArea>
    </chartFormat>
    <chartFormat chart="0" format="24">
      <pivotArea type="data" outline="0" fieldPosition="0">
        <references count="2">
          <reference field="4294967294" count="1" selected="0">
            <x v="0"/>
          </reference>
          <reference field="6" count="1" selected="0">
            <x v="3"/>
          </reference>
        </references>
      </pivotArea>
    </chartFormat>
    <chartFormat chart="0" format="25">
      <pivotArea type="data" outline="0" fieldPosition="0">
        <references count="2">
          <reference field="4294967294" count="1" selected="0">
            <x v="0"/>
          </reference>
          <reference field="6" count="1" selected="0">
            <x v="28"/>
          </reference>
        </references>
      </pivotArea>
    </chartFormat>
    <chartFormat chart="0" format="26">
      <pivotArea type="data" outline="0" fieldPosition="0">
        <references count="2">
          <reference field="4294967294" count="1" selected="0">
            <x v="0"/>
          </reference>
          <reference field="6" count="1" selected="0">
            <x v="18"/>
          </reference>
        </references>
      </pivotArea>
    </chartFormat>
    <chartFormat chart="0" format="27">
      <pivotArea type="data" outline="0" fieldPosition="0">
        <references count="2">
          <reference field="4294967294" count="1" selected="0">
            <x v="0"/>
          </reference>
          <reference field="6" count="1" selected="0">
            <x v="30"/>
          </reference>
        </references>
      </pivotArea>
    </chartFormat>
    <chartFormat chart="0" format="28">
      <pivotArea type="data" outline="0" fieldPosition="0">
        <references count="2">
          <reference field="4294967294" count="1" selected="0">
            <x v="0"/>
          </reference>
          <reference field="6" count="1" selected="0">
            <x v="19"/>
          </reference>
        </references>
      </pivotArea>
    </chartFormat>
    <chartFormat chart="0" format="29">
      <pivotArea type="data" outline="0" fieldPosition="0">
        <references count="2">
          <reference field="4294967294" count="1" selected="0">
            <x v="0"/>
          </reference>
          <reference field="6" count="1" selected="0">
            <x v="32"/>
          </reference>
        </references>
      </pivotArea>
    </chartFormat>
    <chartFormat chart="0" format="30">
      <pivotArea type="data" outline="0" fieldPosition="0">
        <references count="2">
          <reference field="4294967294" count="1" selected="0">
            <x v="0"/>
          </reference>
          <reference field="6" count="1" selected="0">
            <x v="4"/>
          </reference>
        </references>
      </pivotArea>
    </chartFormat>
    <chartFormat chart="0" format="31">
      <pivotArea type="data" outline="0" fieldPosition="0">
        <references count="2">
          <reference field="4294967294" count="1" selected="0">
            <x v="0"/>
          </reference>
          <reference field="6" count="1" selected="0">
            <x v="34"/>
          </reference>
        </references>
      </pivotArea>
    </chartFormat>
    <chartFormat chart="0" format="32">
      <pivotArea type="data" outline="0" fieldPosition="0">
        <references count="2">
          <reference field="4294967294" count="1" selected="0">
            <x v="0"/>
          </reference>
          <reference field="6" count="1" selected="0">
            <x v="44"/>
          </reference>
        </references>
      </pivotArea>
    </chartFormat>
    <chartFormat chart="0" format="33">
      <pivotArea type="data" outline="0" fieldPosition="0">
        <references count="2">
          <reference field="4294967294" count="1" selected="0">
            <x v="0"/>
          </reference>
          <reference field="6" count="1" selected="0">
            <x v="36"/>
          </reference>
        </references>
      </pivotArea>
    </chartFormat>
    <chartFormat chart="0" format="34">
      <pivotArea type="data" outline="0" fieldPosition="0">
        <references count="2">
          <reference field="4294967294" count="1" selected="0">
            <x v="0"/>
          </reference>
          <reference field="6" count="1" selected="0">
            <x v="22"/>
          </reference>
        </references>
      </pivotArea>
    </chartFormat>
    <chartFormat chart="0" format="35">
      <pivotArea type="data" outline="0" fieldPosition="0">
        <references count="2">
          <reference field="4294967294" count="1" selected="0">
            <x v="0"/>
          </reference>
          <reference field="6" count="1" selected="0">
            <x v="38"/>
          </reference>
        </references>
      </pivotArea>
    </chartFormat>
    <chartFormat chart="0" format="36">
      <pivotArea type="data" outline="0" fieldPosition="0">
        <references count="2">
          <reference field="4294967294" count="1" selected="0">
            <x v="0"/>
          </reference>
          <reference field="6" count="1" selected="0">
            <x v="5"/>
          </reference>
        </references>
      </pivotArea>
    </chartFormat>
    <chartFormat chart="0" format="37">
      <pivotArea type="data" outline="0" fieldPosition="0">
        <references count="2">
          <reference field="4294967294" count="1" selected="0">
            <x v="0"/>
          </reference>
          <reference field="6" count="1" selected="0">
            <x v="40"/>
          </reference>
        </references>
      </pivotArea>
    </chartFormat>
    <chartFormat chart="0" format="38">
      <pivotArea type="data" outline="0" fieldPosition="0">
        <references count="2">
          <reference field="4294967294" count="1" selected="0">
            <x v="0"/>
          </reference>
          <reference field="6" count="1" selected="0">
            <x v="25"/>
          </reference>
        </references>
      </pivotArea>
    </chartFormat>
    <chartFormat chart="0" format="39">
      <pivotArea type="data" outline="0" fieldPosition="0">
        <references count="2">
          <reference field="4294967294" count="1" selected="0">
            <x v="0"/>
          </reference>
          <reference field="6" count="1" selected="0">
            <x v="43"/>
          </reference>
        </references>
      </pivotArea>
    </chartFormat>
    <chartFormat chart="0" format="40">
      <pivotArea type="data" outline="0" fieldPosition="0">
        <references count="2">
          <reference field="4294967294" count="1" selected="0">
            <x v="0"/>
          </reference>
          <reference field="6" count="1" selected="0">
            <x v="6"/>
          </reference>
        </references>
      </pivotArea>
    </chartFormat>
    <chartFormat chart="0" format="41">
      <pivotArea type="data" outline="0" fieldPosition="0">
        <references count="2">
          <reference field="4294967294" count="1" selected="0">
            <x v="0"/>
          </reference>
          <reference field="6" count="1" selected="0">
            <x v="7"/>
          </reference>
        </references>
      </pivotArea>
    </chartFormat>
    <chartFormat chart="0" format="42">
      <pivotArea type="data" outline="0" fieldPosition="0">
        <references count="2">
          <reference field="4294967294" count="1" selected="0">
            <x v="0"/>
          </reference>
          <reference field="6"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81BCA-D5EF-4CB4-B31F-A8E9494F4119}" name="PivotTable2" cacheId="73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G16:H21" firstHeaderRow="1" firstDataRow="1" firstDataCol="1"/>
  <pivotFields count="8">
    <pivotField compact="0" outline="0" showAll="0"/>
    <pivotField compact="0" outline="0" showAll="0"/>
    <pivotField compact="0" outline="0" showAll="0"/>
    <pivotField compact="0" outline="0" showAll="0"/>
    <pivotField compact="0" outline="0" showAll="0"/>
    <pivotField name="Age Group" axis="axisRow" dataField="1" compact="0" outline="0" showAll="0">
      <items count="6">
        <item x="2"/>
        <item x="4"/>
        <item x="0"/>
        <item x="1"/>
        <item x="3"/>
        <item t="default"/>
      </items>
    </pivotField>
    <pivotField compact="0" outline="0" showAll="0">
      <items count="46">
        <item x="1"/>
        <item x="38"/>
        <item x="24"/>
        <item x="36"/>
        <item x="42"/>
        <item x="17"/>
        <item x="41"/>
        <item x="26"/>
        <item x="33"/>
        <item x="35"/>
        <item x="31"/>
        <item x="29"/>
        <item x="28"/>
        <item x="23"/>
        <item x="25"/>
        <item x="18"/>
        <item x="27"/>
        <item x="2"/>
        <item x="10"/>
        <item x="3"/>
        <item x="6"/>
        <item x="37"/>
        <item x="7"/>
        <item x="30"/>
        <item x="15"/>
        <item x="11"/>
        <item x="39"/>
        <item x="14"/>
        <item x="32"/>
        <item x="34"/>
        <item x="16"/>
        <item x="20"/>
        <item x="21"/>
        <item x="5"/>
        <item x="12"/>
        <item x="0"/>
        <item x="19"/>
        <item x="43"/>
        <item x="44"/>
        <item x="40"/>
        <item x="22"/>
        <item x="9"/>
        <item x="13"/>
        <item x="8"/>
        <item x="4"/>
        <item t="default"/>
      </items>
    </pivotField>
    <pivotField compact="0" outline="0" showAll="0">
      <items count="6">
        <item h="1" x="2"/>
        <item h="1" x="1"/>
        <item h="1" x="4"/>
        <item x="0"/>
        <item h="1" x="3"/>
        <item t="default"/>
      </items>
    </pivotField>
  </pivotFields>
  <rowFields count="1">
    <field x="5"/>
  </rowFields>
  <rowItems count="5">
    <i>
      <x/>
    </i>
    <i>
      <x v="1"/>
    </i>
    <i>
      <x v="2"/>
    </i>
    <i>
      <x v="3"/>
    </i>
    <i>
      <x v="4"/>
    </i>
  </rowItems>
  <colItems count="1">
    <i/>
  </colItems>
  <dataFields count="1">
    <dataField name="Age Groups Affected Count" fld="5" subtotal="count" baseField="0" baseItem="0"/>
  </dataFields>
  <formats count="20">
    <format dxfId="26">
      <pivotArea dataOnly="0" labelOnly="1" outline="0" axis="axisValues" fieldPosition="0"/>
    </format>
    <format dxfId="27">
      <pivotArea field="6" type="button" dataOnly="0" labelOnly="1" outline="0"/>
    </format>
    <format dxfId="28">
      <pivotArea dataOnly="0" labelOnly="1" outline="0" axis="axisValues" fieldPosition="0"/>
    </format>
    <format dxfId="29">
      <pivotArea field="6" type="button" dataOnly="0" labelOnly="1" outline="0"/>
    </format>
    <format dxfId="30">
      <pivotArea dataOnly="0" labelOnly="1" outline="0" axis="axisValues" fieldPosition="0"/>
    </format>
    <format dxfId="31">
      <pivotArea field="6" type="button" dataOnly="0" labelOnly="1" outline="0"/>
    </format>
    <format dxfId="32">
      <pivotArea dataOnly="0" labelOnly="1" outline="0" axis="axisValues" fieldPosition="0"/>
    </format>
    <format dxfId="33">
      <pivotArea field="6" type="button" dataOnly="0" labelOnly="1" outline="0"/>
    </format>
    <format dxfId="34">
      <pivotArea dataOnly="0" labelOnly="1" outline="0" axis="axisValues" fieldPosition="0"/>
    </format>
    <format dxfId="35">
      <pivotArea field="6" type="button" dataOnly="0" labelOnly="1" outline="0"/>
    </format>
    <format dxfId="36">
      <pivotArea dataOnly="0" labelOnly="1" outline="0" axis="axisValues" fieldPosition="0"/>
    </format>
    <format dxfId="37">
      <pivotArea outline="0" collapsedLevelsAreSubtotals="1" fieldPosition="0"/>
    </format>
    <format dxfId="38">
      <pivotArea outline="0" collapsedLevelsAreSubtotals="1" fieldPosition="0"/>
    </format>
    <format dxfId="39">
      <pivotArea field="5" type="button" dataOnly="0" labelOnly="1" outline="0" axis="axisRow" fieldPosition="0"/>
    </format>
    <format dxfId="40">
      <pivotArea field="5" type="button" dataOnly="0" labelOnly="1" outline="0" axis="axisRow" fieldPosition="0"/>
    </format>
    <format dxfId="41">
      <pivotArea field="5" type="button" dataOnly="0" labelOnly="1" outline="0" axis="axisRow" fieldPosition="0"/>
    </format>
    <format dxfId="42">
      <pivotArea field="5" type="button" dataOnly="0" labelOnly="1" outline="0" axis="axisRow" fieldPosition="0"/>
    </format>
    <format dxfId="43">
      <pivotArea dataOnly="0" labelOnly="1" outline="0" fieldPosition="0">
        <references count="1">
          <reference field="5" count="0"/>
        </references>
      </pivotArea>
    </format>
    <format dxfId="44">
      <pivotArea dataOnly="0" labelOnly="1" outline="0" fieldPosition="0">
        <references count="1">
          <reference field="5" count="0"/>
        </references>
      </pivotArea>
    </format>
    <format dxfId="45">
      <pivotArea field="5"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9783DFD-3D0B-4226-BBFC-6C1F62E360AA}" sourceName="location">
  <pivotTables>
    <pivotTable tabId="3" name="PivotTable1"/>
    <pivotTable tabId="3" name="PivotTable2"/>
  </pivotTables>
  <data>
    <tabular pivotCacheId="1933494808">
      <items count="5">
        <i x="2"/>
        <i x="1"/>
        <i x="4"/>
        <i x="0"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4CD5D6C-3BDD-4B0D-B82D-BA02F1AED483}" cache="Slicer_location" caption="Location" style="SlicerStyleLight3"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58239-CD18-456A-A862-3D06A5FC5ED5}" name="tblLocations" displayName="tblLocations" ref="A1:B73" totalsRowShown="0">
  <autoFilter ref="A1:B73" xr:uid="{CC958239-CD18-456A-A862-3D06A5FC5ED5}"/>
  <tableColumns count="2">
    <tableColumn id="1" xr3:uid="{63EE2E97-F4C2-4A6F-B779-EB3C3F8646AB}" name="feature_id"/>
    <tableColumn id="2" xr3:uid="{AEC6B88A-E8FF-46CE-8B5B-52F3E700AAFC}" name="lo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034AAB-B36B-4A14-AA3E-BD5ED4921BDC}" name="tblFeatures" displayName="tblFeatures" ref="J1:Q73" totalsRowShown="0">
  <autoFilter ref="J1:Q73" xr:uid="{C7034AAB-B36B-4A14-AA3E-BD5ED4921BDC}"/>
  <tableColumns count="8">
    <tableColumn id="1" xr3:uid="{D3C12773-86E4-4713-A942-A848628492F1}" name="id"/>
    <tableColumn id="2" xr3:uid="{C115445F-5EE4-4D90-9B8A-ECC725AFB3F5}" name="name"/>
    <tableColumn id="3" xr3:uid="{F7802575-387C-46C8-8C41-BF95B46FA3E1}" name="description"/>
    <tableColumn id="4" xr3:uid="{28DB8EA3-A1F8-4C27-863C-F9FA602944F6}" name="detailed_explanation"/>
    <tableColumn id="5" xr3:uid="{BAC963BC-A18E-48FA-A915-292F4745F12A}" name="category"/>
    <tableColumn id="6" xr3:uid="{C202C2D2-7B1F-440E-AF61-23E5FDBE1A25}" name="age_group" dataDxfId="25">
      <calculatedColumnFormula>_xlfn.XLOOKUP(tblFeatures[[#This Row],[id]], tblAgeGroups[feature_id], tblAgeGroups[Age_Group])</calculatedColumnFormula>
    </tableColumn>
    <tableColumn id="7" xr3:uid="{8275EC8F-7D00-4C07-8038-FDAA4F1E4380}" name="profession" dataDxfId="24">
      <calculatedColumnFormula>_xlfn.XLOOKUP(tblFeatures[[#This Row],[id]],tblProfessions[feature_id],tblProfessions[profession])</calculatedColumnFormula>
    </tableColumn>
    <tableColumn id="8" xr3:uid="{BD4D96DD-1BC3-483B-BA97-BE4A8DEE3107}" name="location" dataDxfId="23">
      <calculatedColumnFormula>_xlfn.XLOOKUP(tblFeatures[[#This Row],[id]],tblLocations[feature_id], tblLocations[location])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B0D149-397C-428F-B92C-564E3EE17890}" name="tblAgeGroups" displayName="tblAgeGroups" ref="D1:E73" totalsRowShown="0">
  <autoFilter ref="D1:E73" xr:uid="{81B0D149-397C-428F-B92C-564E3EE17890}"/>
  <tableColumns count="2">
    <tableColumn id="1" xr3:uid="{EC5E94C5-1AC0-46A3-A428-5CC44266C80C}" name="feature_id"/>
    <tableColumn id="2" xr3:uid="{49974B9C-72A6-48F1-B415-42492DE1CA63}" name="Age_Grou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673D36E-2594-47C6-BD50-0ABA3CF9E0C6}" name="tblProfessions" displayName="tblProfessions" ref="G1:H73" totalsRowShown="0">
  <autoFilter ref="G1:H73" xr:uid="{7673D36E-2594-47C6-BD50-0ABA3CF9E0C6}"/>
  <sortState xmlns:xlrd2="http://schemas.microsoft.com/office/spreadsheetml/2017/richdata2" ref="G2:H73">
    <sortCondition ref="G1:G73"/>
  </sortState>
  <tableColumns count="2">
    <tableColumn id="1" xr3:uid="{B6687579-B610-4B8D-8FCE-E4331D44F1A1}" name="feature_id"/>
    <tableColumn id="2" xr3:uid="{577187F5-0C41-410C-BC6C-B79D2120F16D}" name="profes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B57BB4-D71E-403F-A8DC-230EF04C09BB}" name="Budget_Features" displayName="Budget_Features" ref="A1:H73" totalsRowShown="0">
  <autoFilter ref="A1:H73" xr:uid="{07B57BB4-D71E-403F-A8DC-230EF04C09BB}"/>
  <tableColumns count="8">
    <tableColumn id="1" xr3:uid="{199CD7C4-AFBE-4288-A738-EC206F0B334D}" name="id"/>
    <tableColumn id="2" xr3:uid="{E6B2030F-2AF5-47C0-9047-E62B8DBC6DD2}" name="name"/>
    <tableColumn id="3" xr3:uid="{A3A50933-095B-4FB6-A33D-454BA789A427}" name="description"/>
    <tableColumn id="4" xr3:uid="{91C48F8C-A21C-4972-866E-EC921E2FE4C6}" name="detailed_explanation"/>
    <tableColumn id="5" xr3:uid="{75CBAC25-E0B4-462C-A65D-1B186D042A8B}" name="category"/>
    <tableColumn id="6" xr3:uid="{8B8BAF2D-9EDE-4B89-99EF-1368645AE166}" name="age_group" dataDxfId="22">
      <calculatedColumnFormula>_xlfn.XLOOKUP(Budget_Features[[#This Row],[id]], tblAgeGroups[feature_id], tblAgeGroups[Age_Group])</calculatedColumnFormula>
    </tableColumn>
    <tableColumn id="7" xr3:uid="{82DAE95F-A157-451B-B077-F544CE796C85}" name="profession" dataDxfId="21">
      <calculatedColumnFormula>_xlfn.XLOOKUP(Budget_Features[[#This Row],[id]],tblProfessions[feature_id],tblProfessions[profession])</calculatedColumnFormula>
    </tableColumn>
    <tableColumn id="8" xr3:uid="{66B290A9-A6B5-424B-BA40-E2536D9479A6}" name="location" dataDxfId="20">
      <calculatedColumnFormula>_xlfn.XLOOKUP(Budget_Features[[#This Row],[id]],tblLocations[feature_id], tblLocations[location])</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F1050-3D3C-419A-862E-1911D003561C}" name="Table2" displayName="Table2" ref="B8:H9" totalsRowShown="0" headerRowDxfId="19" dataDxfId="18" tableBorderDxfId="17">
  <autoFilter ref="B8:H9" xr:uid="{AE9F1050-3D3C-419A-862E-1911D003561C}"/>
  <tableColumns count="7">
    <tableColumn id="2" xr3:uid="{645AEBB0-6082-49C4-8166-6D9AD2FF3F8B}" name="name" dataDxfId="16"/>
    <tableColumn id="3" xr3:uid="{0CEE5E6D-D9EA-454D-8447-A2A7680BCA8F}" name="profession" dataDxfId="15">
      <calculatedColumnFormula>INDEX(INDIRECT("Budget_Features["&amp;C$8&amp;"]"), MATCH($B9, INDIRECT("Budget_Features["&amp;$B$8&amp;"]"), 0))</calculatedColumnFormula>
    </tableColumn>
    <tableColumn id="4" xr3:uid="{FF964631-A774-4BD8-BBB3-6A984EEC43D6}" name="description" dataDxfId="14">
      <calculatedColumnFormula>INDEX(INDIRECT("Budget_Features["&amp;D$8&amp;"]"), MATCH($B$9, INDIRECT("Budget_Features["&amp;$B$8&amp;"]"), 0))</calculatedColumnFormula>
    </tableColumn>
    <tableColumn id="5" xr3:uid="{221131F9-1BF1-4A4D-85A8-6DC5DF96BB70}" name="detailed_explanation" dataDxfId="13">
      <calculatedColumnFormula>SUBSTITUTE(MID(INDEX(INDIRECT("Budget_Features["&amp;E$8&amp;"]"), MATCH($B$9, INDIRECT("Budget_Features["&amp;$B$8&amp;"]"), 0)), 13, LEN(INDEX(INDIRECT("Budget_Features["&amp;E$8&amp;"]"), MATCH($B$9, INDIRECT("Budget_Features["&amp;$B$8&amp;"]"), 0)))-13), "\n", CHAR(10))</calculatedColumnFormula>
    </tableColumn>
    <tableColumn id="6" xr3:uid="{6B25A1FF-87A0-4BBD-93B3-28E6DED9C756}" name="category" dataDxfId="12">
      <calculatedColumnFormula>SUBSTITUTE(MID(INDEX(INDIRECT("Budget_Features["&amp;F$8&amp;"]"), MATCH($B$9, INDIRECT("Budget_Features["&amp;$B$8&amp;"]"), 0)), 18, LEN(INDEX(INDIRECT("Budget_Features["&amp;F$8&amp;"]"), MATCH($B$9, INDIRECT("Budget_Features["&amp;$B$8&amp;"]"), 0)))-20), "\n", CHAR(10))</calculatedColumnFormula>
    </tableColumn>
    <tableColumn id="7" xr3:uid="{008A790B-BB25-4B47-ACBA-2A12AEFC21EF}" name="age_group" dataDxfId="11">
      <calculatedColumnFormula>INDEX(INDIRECT("Budget_Features["&amp;G$8&amp;"]"), MATCH($B$9, INDIRECT("Budget_Features["&amp;$B$8&amp;"]"), 0))</calculatedColumnFormula>
    </tableColumn>
    <tableColumn id="8" xr3:uid="{863385EB-0F41-465B-BDB7-FB6D666A2E3C}" name="location" dataDxfId="10">
      <calculatedColumnFormula>INDEX(INDIRECT("Budget_Features["&amp;H$8&amp;"]"), MATCH($B$9, INDIRECT("Budget_Features["&amp;$B$8&amp;"]"), 0))</calculatedColumn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F5CB11-A4CB-4956-8B69-B9C096C0E01C}" name="Table3" displayName="Table3" ref="B12:H13" totalsRowShown="0" headerRowDxfId="9" dataDxfId="8" tableBorderDxfId="7">
  <autoFilter ref="B12:H13" xr:uid="{B3F5CB11-A4CB-4956-8B69-B9C096C0E01C}"/>
  <tableColumns count="7">
    <tableColumn id="1" xr3:uid="{441AA0BD-6CE8-4D90-8034-905C48B7512E}" name="profession" dataDxfId="6"/>
    <tableColumn id="2" xr3:uid="{65F6F062-A913-4723-BBFB-D1AB93A8BBDB}" name="name" dataDxfId="5"/>
    <tableColumn id="3" xr3:uid="{DD47A50A-A945-477D-9A78-EDBA7B0D3B0F}" name="description" dataDxfId="4">
      <calculatedColumnFormula>INDEX(INDIRECT("Budget_Features["&amp;D$8&amp;"]"), MATCH($C$13, INDIRECT("Budget_Features[name]"), 0))</calculatedColumnFormula>
    </tableColumn>
    <tableColumn id="4" xr3:uid="{EC0B14A2-31B1-4EDE-9F45-F4B3AF9788B6}" name="detailed_explanation" dataDxfId="3">
      <calculatedColumnFormula>SUBSTITUTE(MID(INDEX(INDIRECT("Budget_Features["&amp;E$12&amp;"]"), MATCH($C$13, Budget_Features[name], 0)), 13, LEN(INDEX(INDIRECT("Budget_Features["&amp;E$12&amp;"]"), MATCH($C$13, Budget_Features[name], 0)))-13), "\n", CHAR(10))</calculatedColumnFormula>
    </tableColumn>
    <tableColumn id="5" xr3:uid="{15ED7189-5826-43A8-8CA9-A2F97DEFCEF5}" name="category" dataDxfId="2">
      <calculatedColumnFormula>SUBSTITUTE(MID(INDEX(INDIRECT("Budget_Features["&amp;F$12&amp;"]"), MATCH($C$13, Budget_Features[name], 0)), 18, LEN(INDEX(INDIRECT("Budget_Features["&amp;F$12&amp;"]"), MATCH($C$13, Budget_Features[name], 0)))-20), "\n", CHAR(10))</calculatedColumnFormula>
    </tableColumn>
    <tableColumn id="6" xr3:uid="{822EB12B-F30E-4C96-82EE-9B44308DE96B}" name="age_group" dataDxfId="1">
      <calculatedColumnFormula>INDEX(INDIRECT("Budget_Features["&amp;G$8&amp;"]"), MATCH($C$13, INDIRECT("Budget_Features[name]"), 0))</calculatedColumnFormula>
    </tableColumn>
    <tableColumn id="7" xr3:uid="{D91C5804-8A03-45F7-92FC-3C5C730201A6}" name="location" dataDxfId="0">
      <calculatedColumnFormula>INDEX(INDIRECT("Budget_Features["&amp;H$8&amp;"]"), MATCH($C$13, INDIRECT("Budget_Features[name]"),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04DF-999F-4DD7-99E9-0AC27DB45F6B}">
  <dimension ref="A1:T73"/>
  <sheetViews>
    <sheetView tabSelected="1" topLeftCell="K1" workbookViewId="0">
      <selection activeCell="S2" sqref="S2"/>
    </sheetView>
  </sheetViews>
  <sheetFormatPr defaultRowHeight="15"/>
  <cols>
    <col min="1" max="1" width="14.7109375" customWidth="1"/>
    <col min="2" max="2" width="11.7109375" bestFit="1" customWidth="1"/>
    <col min="3" max="3" width="13.7109375" customWidth="1"/>
    <col min="4" max="4" width="17.28515625" customWidth="1"/>
    <col min="5" max="5" width="14.42578125" customWidth="1"/>
    <col min="8" max="9" width="19.42578125" customWidth="1"/>
    <col min="13" max="13" width="27.85546875" customWidth="1"/>
    <col min="14" max="14" width="46.5703125" customWidth="1"/>
    <col min="15" max="16" width="12.5703125" bestFit="1" customWidth="1"/>
    <col min="17" max="17" width="13.7109375" customWidth="1"/>
    <col min="19" max="19" width="10" bestFit="1" customWidth="1"/>
  </cols>
  <sheetData>
    <row r="1" spans="1:20">
      <c r="A1" t="s">
        <v>0</v>
      </c>
      <c r="B1" t="s">
        <v>1</v>
      </c>
      <c r="D1" t="s">
        <v>0</v>
      </c>
      <c r="E1" t="s">
        <v>2</v>
      </c>
      <c r="G1" t="s">
        <v>0</v>
      </c>
      <c r="H1" t="s">
        <v>3</v>
      </c>
      <c r="J1" t="s">
        <v>4</v>
      </c>
      <c r="K1" t="s">
        <v>5</v>
      </c>
      <c r="L1" t="s">
        <v>6</v>
      </c>
      <c r="M1" t="s">
        <v>7</v>
      </c>
      <c r="N1" t="s">
        <v>8</v>
      </c>
      <c r="O1" t="s">
        <v>9</v>
      </c>
      <c r="P1" t="s">
        <v>3</v>
      </c>
      <c r="Q1" t="s">
        <v>1</v>
      </c>
      <c r="S1" t="s">
        <v>10</v>
      </c>
      <c r="T1" t="s">
        <v>11</v>
      </c>
    </row>
    <row r="2" spans="1:20" ht="121.5">
      <c r="A2">
        <v>1</v>
      </c>
      <c r="B2" t="s">
        <v>12</v>
      </c>
      <c r="D2">
        <v>1</v>
      </c>
      <c r="E2" t="s">
        <v>13</v>
      </c>
      <c r="G2">
        <v>1</v>
      </c>
      <c r="H2" t="s">
        <v>14</v>
      </c>
      <c r="J2">
        <v>1</v>
      </c>
      <c r="K2" t="s">
        <v>15</v>
      </c>
      <c r="L2" t="s">
        <v>16</v>
      </c>
      <c r="M2" s="1" t="s">
        <v>17</v>
      </c>
      <c r="N2" s="1" t="s">
        <v>18</v>
      </c>
      <c r="O2" t="str">
        <f>_xlfn.XLOOKUP(tblFeatures[[#This Row],[id]], tblAgeGroups[feature_id], tblAgeGroups[Age_Group])</f>
        <v>All Age Groups</v>
      </c>
      <c r="P2" t="str">
        <f>_xlfn.XLOOKUP(tblFeatures[[#This Row],[id]],tblProfessions[feature_id],tblProfessions[profession])</f>
        <v>Daily Wage Workers, Low-Income Individuals</v>
      </c>
      <c r="Q2" t="str">
        <f>_xlfn.XLOOKUP(tblFeatures[[#This Row],[id]],tblLocations[feature_id], tblLocations[location])</f>
        <v>Nationwide</v>
      </c>
      <c r="S2" t="str" cm="1">
        <f t="array" ref="S2:T46">_xlfn.LET(
  _xlpm.professions, Budget_Features[profession],
  _xlpm.unique_prof, _xlfn.UNIQUE(_xlpm.professions),
  _xlpm.counts, COUNTIF(_xlpm.professions, _xlpm.unique_prof),
  _xlfn.HSTACK(_xlpm.unique_prof, _xlpm.counts)
)</f>
        <v>Daily Wage Workers, Low-Income Individuals</v>
      </c>
      <c r="T2">
        <v>1</v>
      </c>
    </row>
    <row r="3" spans="1:20">
      <c r="A3">
        <v>2</v>
      </c>
      <c r="B3" t="s">
        <v>12</v>
      </c>
      <c r="D3">
        <v>2</v>
      </c>
      <c r="E3" t="s">
        <v>19</v>
      </c>
      <c r="G3">
        <v>2</v>
      </c>
      <c r="H3" t="s">
        <v>20</v>
      </c>
      <c r="J3">
        <v>2</v>
      </c>
      <c r="K3" t="s">
        <v>21</v>
      </c>
      <c r="L3" t="s">
        <v>22</v>
      </c>
      <c r="M3" t="s">
        <v>23</v>
      </c>
      <c r="N3" t="s">
        <v>24</v>
      </c>
      <c r="O3" t="str">
        <f>_xlfn.XLOOKUP(tblFeatures[[#This Row],[id]], tblAgeGroups[feature_id], tblAgeGroups[Age_Group])</f>
        <v>Children</v>
      </c>
      <c r="P3" t="str">
        <f>_xlfn.XLOOKUP(tblFeatures[[#This Row],[id]],tblProfessions[feature_id],tblProfessions[profession])</f>
        <v>Students, Teachers</v>
      </c>
      <c r="Q3" t="str">
        <f>_xlfn.XLOOKUP(tblFeatures[[#This Row],[id]],tblLocations[feature_id], tblLocations[location])</f>
        <v>Nationwide</v>
      </c>
      <c r="S3" t="str">
        <v>Students, Teachers</v>
      </c>
      <c r="T3">
        <v>2</v>
      </c>
    </row>
    <row r="4" spans="1:20">
      <c r="A4">
        <v>3</v>
      </c>
      <c r="B4" t="s">
        <v>12</v>
      </c>
      <c r="D4">
        <v>3</v>
      </c>
      <c r="E4" t="s">
        <v>13</v>
      </c>
      <c r="G4">
        <v>3</v>
      </c>
      <c r="H4" t="s">
        <v>25</v>
      </c>
      <c r="J4">
        <v>3</v>
      </c>
      <c r="K4" t="s">
        <v>26</v>
      </c>
      <c r="L4" t="s">
        <v>27</v>
      </c>
      <c r="M4" t="s">
        <v>28</v>
      </c>
      <c r="N4" t="s">
        <v>29</v>
      </c>
      <c r="O4" t="str">
        <f>_xlfn.XLOOKUP(tblFeatures[[#This Row],[id]], tblAgeGroups[feature_id], tblAgeGroups[Age_Group])</f>
        <v>All Age Groups</v>
      </c>
      <c r="P4" t="str">
        <f>_xlfn.XLOOKUP(tblFeatures[[#This Row],[id]],tblProfessions[feature_id],tblProfessions[profession])</f>
        <v>General Public</v>
      </c>
      <c r="Q4" t="str">
        <f>_xlfn.XLOOKUP(tblFeatures[[#This Row],[id]],tblLocations[feature_id], tblLocations[location])</f>
        <v>Nationwide</v>
      </c>
      <c r="S4" t="str">
        <v>General Public</v>
      </c>
      <c r="T4">
        <v>14</v>
      </c>
    </row>
    <row r="5" spans="1:20">
      <c r="A5">
        <v>4</v>
      </c>
      <c r="B5" t="s">
        <v>12</v>
      </c>
      <c r="D5">
        <v>4</v>
      </c>
      <c r="E5" t="s">
        <v>30</v>
      </c>
      <c r="G5">
        <v>4</v>
      </c>
      <c r="H5" t="s">
        <v>25</v>
      </c>
      <c r="J5">
        <v>4</v>
      </c>
      <c r="K5" t="s">
        <v>31</v>
      </c>
      <c r="L5" t="s">
        <v>32</v>
      </c>
      <c r="M5" t="s">
        <v>33</v>
      </c>
      <c r="N5" t="s">
        <v>34</v>
      </c>
      <c r="O5" t="str">
        <f>_xlfn.XLOOKUP(tblFeatures[[#This Row],[id]], tblAgeGroups[feature_id], tblAgeGroups[Age_Group])</f>
        <v>Adults</v>
      </c>
      <c r="P5" t="str">
        <f>_xlfn.XLOOKUP(tblFeatures[[#This Row],[id]],tblProfessions[feature_id],tblProfessions[profession])</f>
        <v>General Public</v>
      </c>
      <c r="Q5" t="str">
        <f>_xlfn.XLOOKUP(tblFeatures[[#This Row],[id]],tblLocations[feature_id], tblLocations[location])</f>
        <v>Nationwide</v>
      </c>
      <c r="S5" t="str">
        <v>Female Workforce</v>
      </c>
      <c r="T5">
        <v>1</v>
      </c>
    </row>
    <row r="6" spans="1:20">
      <c r="A6">
        <v>5</v>
      </c>
      <c r="B6" t="s">
        <v>12</v>
      </c>
      <c r="D6">
        <v>5</v>
      </c>
      <c r="E6" t="s">
        <v>30</v>
      </c>
      <c r="G6">
        <v>5</v>
      </c>
      <c r="H6" t="s">
        <v>35</v>
      </c>
      <c r="J6">
        <v>5</v>
      </c>
      <c r="K6" t="s">
        <v>36</v>
      </c>
      <c r="L6" t="s">
        <v>37</v>
      </c>
      <c r="M6" t="s">
        <v>38</v>
      </c>
      <c r="N6" t="s">
        <v>39</v>
      </c>
      <c r="O6" t="str">
        <f>_xlfn.XLOOKUP(tblFeatures[[#This Row],[id]], tblAgeGroups[feature_id], tblAgeGroups[Age_Group])</f>
        <v>Adults</v>
      </c>
      <c r="P6" t="str">
        <f>_xlfn.XLOOKUP(tblFeatures[[#This Row],[id]],tblProfessions[feature_id],tblProfessions[profession])</f>
        <v>Female Workforce</v>
      </c>
      <c r="Q6" t="str">
        <f>_xlfn.XLOOKUP(tblFeatures[[#This Row],[id]],tblLocations[feature_id], tblLocations[location])</f>
        <v>Nationwide</v>
      </c>
      <c r="S6" t="str">
        <v>Agribusiness Entrepreneurs, Exporters, Farmers</v>
      </c>
      <c r="T6">
        <v>1</v>
      </c>
    </row>
    <row r="7" spans="1:20">
      <c r="A7">
        <v>6</v>
      </c>
      <c r="B7" t="s">
        <v>12</v>
      </c>
      <c r="D7">
        <v>6</v>
      </c>
      <c r="E7" t="s">
        <v>30</v>
      </c>
      <c r="G7">
        <v>6</v>
      </c>
      <c r="H7" t="s">
        <v>40</v>
      </c>
      <c r="J7">
        <v>6</v>
      </c>
      <c r="K7" t="s">
        <v>41</v>
      </c>
      <c r="L7" t="s">
        <v>42</v>
      </c>
      <c r="M7" t="s">
        <v>43</v>
      </c>
      <c r="N7" t="s">
        <v>44</v>
      </c>
      <c r="O7" t="str">
        <f>_xlfn.XLOOKUP(tblFeatures[[#This Row],[id]], tblAgeGroups[feature_id], tblAgeGroups[Age_Group])</f>
        <v>Adults</v>
      </c>
      <c r="P7" t="str">
        <f>_xlfn.XLOOKUP(tblFeatures[[#This Row],[id]],tblProfessions[feature_id],tblProfessions[profession])</f>
        <v>Agribusiness Entrepreneurs, Exporters, Farmers</v>
      </c>
      <c r="Q7" t="str">
        <f>_xlfn.XLOOKUP(tblFeatures[[#This Row],[id]],tblLocations[feature_id], tblLocations[location])</f>
        <v>Nationwide</v>
      </c>
      <c r="S7" t="str">
        <v>Economists, General Public</v>
      </c>
      <c r="T7">
        <v>2</v>
      </c>
    </row>
    <row r="8" spans="1:20">
      <c r="A8">
        <v>7</v>
      </c>
      <c r="B8" t="s">
        <v>12</v>
      </c>
      <c r="D8">
        <v>7</v>
      </c>
      <c r="E8" t="s">
        <v>13</v>
      </c>
      <c r="G8">
        <v>7</v>
      </c>
      <c r="H8" t="s">
        <v>45</v>
      </c>
      <c r="J8">
        <v>7</v>
      </c>
      <c r="K8" t="s">
        <v>46</v>
      </c>
      <c r="L8" t="s">
        <v>47</v>
      </c>
      <c r="M8" t="s">
        <v>48</v>
      </c>
      <c r="N8" t="s">
        <v>49</v>
      </c>
      <c r="O8" t="str">
        <f>_xlfn.XLOOKUP(tblFeatures[[#This Row],[id]], tblAgeGroups[feature_id], tblAgeGroups[Age_Group])</f>
        <v>All Age Groups</v>
      </c>
      <c r="P8" t="str">
        <f>_xlfn.XLOOKUP(tblFeatures[[#This Row],[id]],tblProfessions[feature_id],tblProfessions[profession])</f>
        <v>Economists, General Public</v>
      </c>
      <c r="Q8" t="str">
        <f>_xlfn.XLOOKUP(tblFeatures[[#This Row],[id]],tblLocations[feature_id], tblLocations[location])</f>
        <v>Nationwide</v>
      </c>
      <c r="S8" t="str">
        <v>Farmers, Rural Communities</v>
      </c>
      <c r="T8">
        <v>2</v>
      </c>
    </row>
    <row r="9" spans="1:20">
      <c r="A9">
        <v>8</v>
      </c>
      <c r="B9" t="s">
        <v>12</v>
      </c>
      <c r="D9">
        <v>8</v>
      </c>
      <c r="E9" t="s">
        <v>13</v>
      </c>
      <c r="G9">
        <v>8</v>
      </c>
      <c r="H9" t="s">
        <v>45</v>
      </c>
      <c r="J9">
        <v>8</v>
      </c>
      <c r="K9" t="s">
        <v>50</v>
      </c>
      <c r="L9" t="s">
        <v>51</v>
      </c>
      <c r="M9" t="s">
        <v>52</v>
      </c>
      <c r="N9" t="s">
        <v>53</v>
      </c>
      <c r="O9" t="str">
        <f>_xlfn.XLOOKUP(tblFeatures[[#This Row],[id]], tblAgeGroups[feature_id], tblAgeGroups[Age_Group])</f>
        <v>All Age Groups</v>
      </c>
      <c r="P9" t="str">
        <f>_xlfn.XLOOKUP(tblFeatures[[#This Row],[id]],tblProfessions[feature_id],tblProfessions[profession])</f>
        <v>Economists, General Public</v>
      </c>
      <c r="Q9" t="str">
        <f>_xlfn.XLOOKUP(tblFeatures[[#This Row],[id]],tblLocations[feature_id], tblLocations[location])</f>
        <v>Nationwide</v>
      </c>
      <c r="S9" t="str">
        <v>Farmers, General Public</v>
      </c>
      <c r="T9">
        <v>1</v>
      </c>
    </row>
    <row r="10" spans="1:20">
      <c r="A10">
        <v>9</v>
      </c>
      <c r="B10" t="s">
        <v>12</v>
      </c>
      <c r="D10">
        <v>9</v>
      </c>
      <c r="E10" t="s">
        <v>13</v>
      </c>
      <c r="G10">
        <v>9</v>
      </c>
      <c r="H10" t="s">
        <v>25</v>
      </c>
      <c r="J10">
        <v>9</v>
      </c>
      <c r="K10" t="s">
        <v>54</v>
      </c>
      <c r="L10" t="s">
        <v>55</v>
      </c>
      <c r="M10" t="s">
        <v>56</v>
      </c>
      <c r="N10" t="s">
        <v>57</v>
      </c>
      <c r="O10" t="str">
        <f>_xlfn.XLOOKUP(tblFeatures[[#This Row],[id]], tblAgeGroups[feature_id], tblAgeGroups[Age_Group])</f>
        <v>All Age Groups</v>
      </c>
      <c r="P10" t="str">
        <f>_xlfn.XLOOKUP(tblFeatures[[#This Row],[id]],tblProfessions[feature_id],tblProfessions[profession])</f>
        <v>General Public</v>
      </c>
      <c r="Q10" t="str">
        <f>_xlfn.XLOOKUP(tblFeatures[[#This Row],[id]],tblLocations[feature_id], tblLocations[location])</f>
        <v>Nationwide</v>
      </c>
      <c r="S10" t="str">
        <v>Agribusiness Entrepreneurs, Farmers</v>
      </c>
      <c r="T10">
        <v>2</v>
      </c>
    </row>
    <row r="11" spans="1:20">
      <c r="A11">
        <v>10</v>
      </c>
      <c r="B11" t="s">
        <v>12</v>
      </c>
      <c r="D11">
        <v>10</v>
      </c>
      <c r="E11" t="s">
        <v>13</v>
      </c>
      <c r="G11">
        <v>10</v>
      </c>
      <c r="H11" t="s">
        <v>25</v>
      </c>
      <c r="J11">
        <v>10</v>
      </c>
      <c r="K11" t="s">
        <v>58</v>
      </c>
      <c r="L11" t="s">
        <v>59</v>
      </c>
      <c r="M11" t="s">
        <v>60</v>
      </c>
      <c r="N11" t="s">
        <v>61</v>
      </c>
      <c r="O11" t="str">
        <f>_xlfn.XLOOKUP(tblFeatures[[#This Row],[id]], tblAgeGroups[feature_id], tblAgeGroups[Age_Group])</f>
        <v>All Age Groups</v>
      </c>
      <c r="P11" t="str">
        <f>_xlfn.XLOOKUP(tblFeatures[[#This Row],[id]],tblProfessions[feature_id],tblProfessions[profession])</f>
        <v>General Public</v>
      </c>
      <c r="Q11" t="str">
        <f>_xlfn.XLOOKUP(tblFeatures[[#This Row],[id]],tblLocations[feature_id], tblLocations[location])</f>
        <v>Nationwide</v>
      </c>
      <c r="S11" t="str">
        <v>Agricultural Scientists, Farmers</v>
      </c>
      <c r="T11">
        <v>1</v>
      </c>
    </row>
    <row r="12" spans="1:20">
      <c r="A12">
        <v>11</v>
      </c>
      <c r="B12" t="s">
        <v>12</v>
      </c>
      <c r="D12">
        <v>11</v>
      </c>
      <c r="E12" t="s">
        <v>13</v>
      </c>
      <c r="G12">
        <v>11</v>
      </c>
      <c r="H12" t="s">
        <v>25</v>
      </c>
      <c r="J12">
        <v>11</v>
      </c>
      <c r="K12" t="s">
        <v>62</v>
      </c>
      <c r="L12" t="s">
        <v>63</v>
      </c>
      <c r="M12" t="s">
        <v>64</v>
      </c>
      <c r="N12" t="s">
        <v>65</v>
      </c>
      <c r="O12" t="str">
        <f>_xlfn.XLOOKUP(tblFeatures[[#This Row],[id]], tblAgeGroups[feature_id], tblAgeGroups[Age_Group])</f>
        <v>All Age Groups</v>
      </c>
      <c r="P12" t="str">
        <f>_xlfn.XLOOKUP(tblFeatures[[#This Row],[id]],tblProfessions[feature_id],tblProfessions[profession])</f>
        <v>General Public</v>
      </c>
      <c r="Q12" t="str">
        <f>_xlfn.XLOOKUP(tblFeatures[[#This Row],[id]],tblLocations[feature_id], tblLocations[location])</f>
        <v>Nationwide</v>
      </c>
      <c r="S12" t="str">
        <v>Fishermen</v>
      </c>
      <c r="T12">
        <v>1</v>
      </c>
    </row>
    <row r="13" spans="1:20">
      <c r="A13">
        <v>12</v>
      </c>
      <c r="B13" t="s">
        <v>12</v>
      </c>
      <c r="D13">
        <v>12</v>
      </c>
      <c r="E13" t="s">
        <v>13</v>
      </c>
      <c r="G13">
        <v>12</v>
      </c>
      <c r="H13" t="s">
        <v>66</v>
      </c>
      <c r="J13">
        <v>12</v>
      </c>
      <c r="K13" t="s">
        <v>67</v>
      </c>
      <c r="L13" t="s">
        <v>68</v>
      </c>
      <c r="M13" t="s">
        <v>69</v>
      </c>
      <c r="N13" t="s">
        <v>70</v>
      </c>
      <c r="O13" t="str">
        <f>_xlfn.XLOOKUP(tblFeatures[[#This Row],[id]], tblAgeGroups[feature_id], tblAgeGroups[Age_Group])</f>
        <v>All Age Groups</v>
      </c>
      <c r="P13" t="str">
        <f>_xlfn.XLOOKUP(tblFeatures[[#This Row],[id]],tblProfessions[feature_id],tblProfessions[profession])</f>
        <v>Farmers, Rural Communities</v>
      </c>
      <c r="Q13" t="str">
        <f>_xlfn.XLOOKUP(tblFeatures[[#This Row],[id]],tblLocations[feature_id], tblLocations[location])</f>
        <v>Nationwide</v>
      </c>
      <c r="S13" t="str">
        <v>Exporters, Farmers, Textile Manufacturers</v>
      </c>
      <c r="T13">
        <v>1</v>
      </c>
    </row>
    <row r="14" spans="1:20">
      <c r="A14">
        <v>13</v>
      </c>
      <c r="B14" t="s">
        <v>12</v>
      </c>
      <c r="D14">
        <v>13</v>
      </c>
      <c r="E14" t="s">
        <v>13</v>
      </c>
      <c r="G14">
        <v>13</v>
      </c>
      <c r="H14" t="s">
        <v>66</v>
      </c>
      <c r="J14">
        <v>13</v>
      </c>
      <c r="K14" t="s">
        <v>71</v>
      </c>
      <c r="L14" t="s">
        <v>72</v>
      </c>
      <c r="M14" t="s">
        <v>73</v>
      </c>
      <c r="N14" t="s">
        <v>74</v>
      </c>
      <c r="O14" t="str">
        <f>_xlfn.XLOOKUP(tblFeatures[[#This Row],[id]], tblAgeGroups[feature_id], tblAgeGroups[Age_Group])</f>
        <v>All Age Groups</v>
      </c>
      <c r="P14" t="str">
        <f>_xlfn.XLOOKUP(tblFeatures[[#This Row],[id]],tblProfessions[feature_id],tblProfessions[profession])</f>
        <v>Farmers, Rural Communities</v>
      </c>
      <c r="Q14" t="str">
        <f>_xlfn.XLOOKUP(tblFeatures[[#This Row],[id]],tblLocations[feature_id], tblLocations[location])</f>
        <v>Nationwide</v>
      </c>
      <c r="S14" t="str">
        <v>Dairy Farmers, Farmers, Fishermen</v>
      </c>
      <c r="T14">
        <v>1</v>
      </c>
    </row>
    <row r="15" spans="1:20">
      <c r="A15">
        <v>14</v>
      </c>
      <c r="B15" t="s">
        <v>12</v>
      </c>
      <c r="D15">
        <v>14</v>
      </c>
      <c r="E15" t="s">
        <v>30</v>
      </c>
      <c r="G15">
        <v>14</v>
      </c>
      <c r="H15" t="s">
        <v>75</v>
      </c>
      <c r="J15">
        <v>14</v>
      </c>
      <c r="K15" t="s">
        <v>76</v>
      </c>
      <c r="L15" t="s">
        <v>77</v>
      </c>
      <c r="M15" t="s">
        <v>78</v>
      </c>
      <c r="N15" t="s">
        <v>79</v>
      </c>
      <c r="O15" t="str">
        <f>_xlfn.XLOOKUP(tblFeatures[[#This Row],[id]], tblAgeGroups[feature_id], tblAgeGroups[Age_Group])</f>
        <v>Adults</v>
      </c>
      <c r="P15" t="str">
        <f>_xlfn.XLOOKUP(tblFeatures[[#This Row],[id]],tblProfessions[feature_id],tblProfessions[profession])</f>
        <v>Farmers, General Public</v>
      </c>
      <c r="Q15" t="str">
        <f>_xlfn.XLOOKUP(tblFeatures[[#This Row],[id]],tblLocations[feature_id], tblLocations[location])</f>
        <v>Nationwide</v>
      </c>
      <c r="S15" t="str">
        <v>Agribusiness Entrepreneurs, Farmers, Industrial Workers</v>
      </c>
      <c r="T15">
        <v>1</v>
      </c>
    </row>
    <row r="16" spans="1:20">
      <c r="A16">
        <v>15</v>
      </c>
      <c r="B16" t="s">
        <v>12</v>
      </c>
      <c r="D16">
        <v>15</v>
      </c>
      <c r="E16" t="s">
        <v>30</v>
      </c>
      <c r="G16">
        <v>15</v>
      </c>
      <c r="H16" t="s">
        <v>80</v>
      </c>
      <c r="J16">
        <v>15</v>
      </c>
      <c r="K16" t="s">
        <v>81</v>
      </c>
      <c r="L16" t="s">
        <v>82</v>
      </c>
      <c r="M16" t="s">
        <v>83</v>
      </c>
      <c r="N16" t="s">
        <v>84</v>
      </c>
      <c r="O16" t="str">
        <f>_xlfn.XLOOKUP(tblFeatures[[#This Row],[id]], tblAgeGroups[feature_id], tblAgeGroups[Age_Group])</f>
        <v>Adults</v>
      </c>
      <c r="P16" t="str">
        <f>_xlfn.XLOOKUP(tblFeatures[[#This Row],[id]],tblProfessions[feature_id],tblProfessions[profession])</f>
        <v>Agribusiness Entrepreneurs, Farmers</v>
      </c>
      <c r="Q16" t="str">
        <f>_xlfn.XLOOKUP(tblFeatures[[#This Row],[id]],tblLocations[feature_id], tblLocations[location])</f>
        <v>Nationwide</v>
      </c>
      <c r="S16" t="str">
        <v>Entrepreneurs, Small Business Owners</v>
      </c>
      <c r="T16">
        <v>4</v>
      </c>
    </row>
    <row r="17" spans="1:20">
      <c r="A17">
        <v>16</v>
      </c>
      <c r="B17" t="s">
        <v>85</v>
      </c>
      <c r="D17">
        <v>16</v>
      </c>
      <c r="E17" t="s">
        <v>30</v>
      </c>
      <c r="G17">
        <v>16</v>
      </c>
      <c r="H17" t="s">
        <v>80</v>
      </c>
      <c r="J17">
        <v>16</v>
      </c>
      <c r="K17" t="s">
        <v>86</v>
      </c>
      <c r="L17" t="s">
        <v>87</v>
      </c>
      <c r="M17" t="s">
        <v>88</v>
      </c>
      <c r="N17" t="s">
        <v>89</v>
      </c>
      <c r="O17" t="str">
        <f>_xlfn.XLOOKUP(tblFeatures[[#This Row],[id]], tblAgeGroups[feature_id], tblAgeGroups[Age_Group])</f>
        <v>Adults</v>
      </c>
      <c r="P17" t="str">
        <f>_xlfn.XLOOKUP(tblFeatures[[#This Row],[id]],tblProfessions[feature_id],tblProfessions[profession])</f>
        <v>Agribusiness Entrepreneurs, Farmers</v>
      </c>
      <c r="Q17" t="str">
        <f>_xlfn.XLOOKUP(tblFeatures[[#This Row],[id]],tblLocations[feature_id], tblLocations[location])</f>
        <v>Bihar</v>
      </c>
      <c r="S17" t="str">
        <v>Exporters, Manufacturers</v>
      </c>
      <c r="T17">
        <v>2</v>
      </c>
    </row>
    <row r="18" spans="1:20">
      <c r="A18">
        <v>17</v>
      </c>
      <c r="B18" t="s">
        <v>12</v>
      </c>
      <c r="D18">
        <v>17</v>
      </c>
      <c r="E18" t="s">
        <v>30</v>
      </c>
      <c r="G18">
        <v>17</v>
      </c>
      <c r="H18" t="s">
        <v>90</v>
      </c>
      <c r="J18">
        <v>17</v>
      </c>
      <c r="K18" t="s">
        <v>91</v>
      </c>
      <c r="L18" t="s">
        <v>92</v>
      </c>
      <c r="M18" t="s">
        <v>93</v>
      </c>
      <c r="N18" t="s">
        <v>94</v>
      </c>
      <c r="O18" t="str">
        <f>_xlfn.XLOOKUP(tblFeatures[[#This Row],[id]], tblAgeGroups[feature_id], tblAgeGroups[Age_Group])</f>
        <v>Adults</v>
      </c>
      <c r="P18" t="str">
        <f>_xlfn.XLOOKUP(tblFeatures[[#This Row],[id]],tblProfessions[feature_id],tblProfessions[profession])</f>
        <v>Agricultural Scientists, Farmers</v>
      </c>
      <c r="Q18" t="str">
        <f>_xlfn.XLOOKUP(tblFeatures[[#This Row],[id]],tblLocations[feature_id], tblLocations[location])</f>
        <v>Nationwide</v>
      </c>
      <c r="S18" t="str">
        <v>Entrepreneurs, Farmers, Students</v>
      </c>
      <c r="T18">
        <v>1</v>
      </c>
    </row>
    <row r="19" spans="1:20">
      <c r="A19">
        <v>18</v>
      </c>
      <c r="B19" t="s">
        <v>12</v>
      </c>
      <c r="D19">
        <v>18</v>
      </c>
      <c r="E19" t="s">
        <v>30</v>
      </c>
      <c r="G19">
        <v>18</v>
      </c>
      <c r="H19" t="s">
        <v>95</v>
      </c>
      <c r="J19">
        <v>18</v>
      </c>
      <c r="K19" t="s">
        <v>96</v>
      </c>
      <c r="L19" t="s">
        <v>97</v>
      </c>
      <c r="M19" t="s">
        <v>98</v>
      </c>
      <c r="N19" t="s">
        <v>99</v>
      </c>
      <c r="O19" t="str">
        <f>_xlfn.XLOOKUP(tblFeatures[[#This Row],[id]], tblAgeGroups[feature_id], tblAgeGroups[Age_Group])</f>
        <v>Adults</v>
      </c>
      <c r="P19" t="str">
        <f>_xlfn.XLOOKUP(tblFeatures[[#This Row],[id]],tblProfessions[feature_id],tblProfessions[profession])</f>
        <v>Fishermen</v>
      </c>
      <c r="Q19" t="str">
        <f>_xlfn.XLOOKUP(tblFeatures[[#This Row],[id]],tblLocations[feature_id], tblLocations[location])</f>
        <v>Nationwide</v>
      </c>
      <c r="S19" t="str">
        <v>Manufacturers</v>
      </c>
      <c r="T19">
        <v>1</v>
      </c>
    </row>
    <row r="20" spans="1:20">
      <c r="A20">
        <v>19</v>
      </c>
      <c r="B20" t="s">
        <v>12</v>
      </c>
      <c r="D20">
        <v>19</v>
      </c>
      <c r="E20" t="s">
        <v>30</v>
      </c>
      <c r="G20">
        <v>19</v>
      </c>
      <c r="H20" t="s">
        <v>100</v>
      </c>
      <c r="J20">
        <v>19</v>
      </c>
      <c r="K20" t="s">
        <v>101</v>
      </c>
      <c r="L20" t="s">
        <v>102</v>
      </c>
      <c r="M20" t="s">
        <v>103</v>
      </c>
      <c r="N20" t="s">
        <v>104</v>
      </c>
      <c r="O20" t="str">
        <f>_xlfn.XLOOKUP(tblFeatures[[#This Row],[id]], tblAgeGroups[feature_id], tblAgeGroups[Age_Group])</f>
        <v>Adults</v>
      </c>
      <c r="P20" t="str">
        <f>_xlfn.XLOOKUP(tblFeatures[[#This Row],[id]],tblProfessions[feature_id],tblProfessions[profession])</f>
        <v>Exporters, Farmers, Textile Manufacturers</v>
      </c>
      <c r="Q20" t="str">
        <f>_xlfn.XLOOKUP(tblFeatures[[#This Row],[id]],tblLocations[feature_id], tblLocations[location])</f>
        <v>Nationwide</v>
      </c>
      <c r="S20" t="str">
        <v>General Public, Students, Workforce</v>
      </c>
      <c r="T20">
        <v>1</v>
      </c>
    </row>
    <row r="21" spans="1:20">
      <c r="A21">
        <v>20</v>
      </c>
      <c r="B21" t="s">
        <v>12</v>
      </c>
      <c r="D21">
        <v>20</v>
      </c>
      <c r="E21" t="s">
        <v>30</v>
      </c>
      <c r="G21">
        <v>20</v>
      </c>
      <c r="H21" t="s">
        <v>105</v>
      </c>
      <c r="J21">
        <v>20</v>
      </c>
      <c r="K21" t="s">
        <v>106</v>
      </c>
      <c r="L21" t="s">
        <v>107</v>
      </c>
      <c r="M21" t="s">
        <v>108</v>
      </c>
      <c r="N21" t="s">
        <v>109</v>
      </c>
      <c r="O21" t="str">
        <f>_xlfn.XLOOKUP(tblFeatures[[#This Row],[id]], tblAgeGroups[feature_id], tblAgeGroups[Age_Group])</f>
        <v>Adults</v>
      </c>
      <c r="P21" t="str">
        <f>_xlfn.XLOOKUP(tblFeatures[[#This Row],[id]],tblProfessions[feature_id],tblProfessions[profession])</f>
        <v>Dairy Farmers, Farmers, Fishermen</v>
      </c>
      <c r="Q21" t="str">
        <f>_xlfn.XLOOKUP(tblFeatures[[#This Row],[id]],tblLocations[feature_id], tblLocations[location])</f>
        <v>Nationwide</v>
      </c>
      <c r="S21" t="str">
        <v>Children, Community Workers, Women</v>
      </c>
      <c r="T21">
        <v>1</v>
      </c>
    </row>
    <row r="22" spans="1:20">
      <c r="A22">
        <v>21</v>
      </c>
      <c r="B22" t="s">
        <v>110</v>
      </c>
      <c r="D22">
        <v>21</v>
      </c>
      <c r="E22" t="s">
        <v>30</v>
      </c>
      <c r="G22">
        <v>21</v>
      </c>
      <c r="H22" t="s">
        <v>111</v>
      </c>
      <c r="J22">
        <v>21</v>
      </c>
      <c r="K22" t="s">
        <v>112</v>
      </c>
      <c r="L22" t="s">
        <v>113</v>
      </c>
      <c r="M22" t="s">
        <v>114</v>
      </c>
      <c r="N22" t="s">
        <v>115</v>
      </c>
      <c r="O22" t="str">
        <f>_xlfn.XLOOKUP(tblFeatures[[#This Row],[id]], tblAgeGroups[feature_id], tblAgeGroups[Age_Group])</f>
        <v>Adults</v>
      </c>
      <c r="P22" t="str">
        <f>_xlfn.XLOOKUP(tblFeatures[[#This Row],[id]],tblProfessions[feature_id],tblProfessions[profession])</f>
        <v>Agribusiness Entrepreneurs, Farmers, Industrial Workers</v>
      </c>
      <c r="Q22" t="str">
        <f>_xlfn.XLOOKUP(tblFeatures[[#This Row],[id]],tblLocations[feature_id], tblLocations[location])</f>
        <v>Assam</v>
      </c>
      <c r="S22" t="str">
        <v>Educators, Students</v>
      </c>
      <c r="T22">
        <v>2</v>
      </c>
    </row>
    <row r="23" spans="1:20">
      <c r="A23">
        <v>22</v>
      </c>
      <c r="B23" t="s">
        <v>12</v>
      </c>
      <c r="D23">
        <v>22</v>
      </c>
      <c r="E23" t="s">
        <v>30</v>
      </c>
      <c r="G23">
        <v>22</v>
      </c>
      <c r="H23" t="s">
        <v>116</v>
      </c>
      <c r="J23">
        <v>22</v>
      </c>
      <c r="K23" t="s">
        <v>117</v>
      </c>
      <c r="L23" t="s">
        <v>118</v>
      </c>
      <c r="M23" t="s">
        <v>119</v>
      </c>
      <c r="N23" t="s">
        <v>120</v>
      </c>
      <c r="O23" t="str">
        <f>_xlfn.XLOOKUP(tblFeatures[[#This Row],[id]], tblAgeGroups[feature_id], tblAgeGroups[Age_Group])</f>
        <v>Adults</v>
      </c>
      <c r="P23" t="str">
        <f>_xlfn.XLOOKUP(tblFeatures[[#This Row],[id]],tblProfessions[feature_id],tblProfessions[profession])</f>
        <v>Entrepreneurs, Small Business Owners</v>
      </c>
      <c r="Q23" t="str">
        <f>_xlfn.XLOOKUP(tblFeatures[[#This Row],[id]],tblLocations[feature_id], tblLocations[location])</f>
        <v>Nationwide</v>
      </c>
      <c r="S23" t="str">
        <v>Educators, Healthcare Workers, Students</v>
      </c>
      <c r="T23">
        <v>1</v>
      </c>
    </row>
    <row r="24" spans="1:20">
      <c r="A24">
        <v>23</v>
      </c>
      <c r="B24" t="s">
        <v>12</v>
      </c>
      <c r="D24">
        <v>23</v>
      </c>
      <c r="E24" t="s">
        <v>30</v>
      </c>
      <c r="G24">
        <v>23</v>
      </c>
      <c r="H24" t="s">
        <v>116</v>
      </c>
      <c r="J24">
        <v>23</v>
      </c>
      <c r="K24" t="s">
        <v>121</v>
      </c>
      <c r="L24" t="s">
        <v>122</v>
      </c>
      <c r="M24" t="s">
        <v>123</v>
      </c>
      <c r="N24" t="s">
        <v>124</v>
      </c>
      <c r="O24" t="str">
        <f>_xlfn.XLOOKUP(tblFeatures[[#This Row],[id]], tblAgeGroups[feature_id], tblAgeGroups[Age_Group])</f>
        <v>Adults</v>
      </c>
      <c r="P24" t="str">
        <f>_xlfn.XLOOKUP(tblFeatures[[#This Row],[id]],tblProfessions[feature_id],tblProfessions[profession])</f>
        <v>Entrepreneurs, Small Business Owners</v>
      </c>
      <c r="Q24" t="str">
        <f>_xlfn.XLOOKUP(tblFeatures[[#This Row],[id]],tblLocations[feature_id], tblLocations[location])</f>
        <v>Nationwide</v>
      </c>
      <c r="S24" t="str">
        <v>Authors, General Public, Publishers</v>
      </c>
      <c r="T24">
        <v>1</v>
      </c>
    </row>
    <row r="25" spans="1:20">
      <c r="A25">
        <v>24</v>
      </c>
      <c r="B25" t="s">
        <v>12</v>
      </c>
      <c r="D25">
        <v>24</v>
      </c>
      <c r="E25" t="s">
        <v>30</v>
      </c>
      <c r="G25">
        <v>24</v>
      </c>
      <c r="H25" t="s">
        <v>116</v>
      </c>
      <c r="J25">
        <v>24</v>
      </c>
      <c r="K25" t="s">
        <v>125</v>
      </c>
      <c r="L25" t="s">
        <v>126</v>
      </c>
      <c r="M25" t="s">
        <v>127</v>
      </c>
      <c r="N25" t="s">
        <v>128</v>
      </c>
      <c r="O25" t="str">
        <f>_xlfn.XLOOKUP(tblFeatures[[#This Row],[id]], tblAgeGroups[feature_id], tblAgeGroups[Age_Group])</f>
        <v>Adults</v>
      </c>
      <c r="P25" t="str">
        <f>_xlfn.XLOOKUP(tblFeatures[[#This Row],[id]],tblProfessions[feature_id],tblProfessions[profession])</f>
        <v>Entrepreneurs, Small Business Owners</v>
      </c>
      <c r="Q25" t="str">
        <f>_xlfn.XLOOKUP(tblFeatures[[#This Row],[id]],tblLocations[feature_id], tblLocations[location])</f>
        <v>Nationwide</v>
      </c>
      <c r="S25" t="str">
        <v>Industry Professionals, Job Seekers, Workers</v>
      </c>
      <c r="T25">
        <v>1</v>
      </c>
    </row>
    <row r="26" spans="1:20">
      <c r="A26">
        <v>25</v>
      </c>
      <c r="B26" t="s">
        <v>12</v>
      </c>
      <c r="D26">
        <v>25</v>
      </c>
      <c r="E26" t="s">
        <v>30</v>
      </c>
      <c r="G26">
        <v>25</v>
      </c>
      <c r="H26" t="s">
        <v>116</v>
      </c>
      <c r="J26">
        <v>25</v>
      </c>
      <c r="K26" t="s">
        <v>129</v>
      </c>
      <c r="L26" t="s">
        <v>130</v>
      </c>
      <c r="M26" t="s">
        <v>131</v>
      </c>
      <c r="N26" t="s">
        <v>132</v>
      </c>
      <c r="O26" t="str">
        <f>_xlfn.XLOOKUP(tblFeatures[[#This Row],[id]], tblAgeGroups[feature_id], tblAgeGroups[Age_Group])</f>
        <v>Adults</v>
      </c>
      <c r="P26" t="str">
        <f>_xlfn.XLOOKUP(tblFeatures[[#This Row],[id]],tblProfessions[feature_id],tblProfessions[profession])</f>
        <v>Entrepreneurs, Small Business Owners</v>
      </c>
      <c r="Q26" t="str">
        <f>_xlfn.XLOOKUP(tblFeatures[[#This Row],[id]],tblLocations[feature_id], tblLocations[location])</f>
        <v>Nationwide</v>
      </c>
      <c r="S26" t="str">
        <v>Researchers, Students</v>
      </c>
      <c r="T26">
        <v>1</v>
      </c>
    </row>
    <row r="27" spans="1:20">
      <c r="A27">
        <v>26</v>
      </c>
      <c r="B27" t="s">
        <v>12</v>
      </c>
      <c r="D27">
        <v>26</v>
      </c>
      <c r="E27" t="s">
        <v>30</v>
      </c>
      <c r="G27">
        <v>26</v>
      </c>
      <c r="H27" t="s">
        <v>133</v>
      </c>
      <c r="J27">
        <v>26</v>
      </c>
      <c r="K27" t="s">
        <v>134</v>
      </c>
      <c r="L27" t="s">
        <v>135</v>
      </c>
      <c r="M27" t="s">
        <v>136</v>
      </c>
      <c r="N27" t="s">
        <v>137</v>
      </c>
      <c r="O27" t="str">
        <f>_xlfn.XLOOKUP(tblFeatures[[#This Row],[id]], tblAgeGroups[feature_id], tblAgeGroups[Age_Group])</f>
        <v>Adults</v>
      </c>
      <c r="P27" t="str">
        <f>_xlfn.XLOOKUP(tblFeatures[[#This Row],[id]],tblProfessions[feature_id],tblProfessions[profession])</f>
        <v>Exporters, Manufacturers</v>
      </c>
      <c r="Q27" t="str">
        <f>_xlfn.XLOOKUP(tblFeatures[[#This Row],[id]],tblLocations[feature_id], tblLocations[location])</f>
        <v>Nationwide</v>
      </c>
      <c r="S27" t="str">
        <v>Healthcare Workers, Students</v>
      </c>
      <c r="T27">
        <v>1</v>
      </c>
    </row>
    <row r="28" spans="1:20">
      <c r="A28">
        <v>27</v>
      </c>
      <c r="B28" t="s">
        <v>12</v>
      </c>
      <c r="D28">
        <v>27</v>
      </c>
      <c r="E28" t="s">
        <v>30</v>
      </c>
      <c r="G28">
        <v>27</v>
      </c>
      <c r="H28" t="s">
        <v>133</v>
      </c>
      <c r="J28">
        <v>27</v>
      </c>
      <c r="K28" t="s">
        <v>138</v>
      </c>
      <c r="L28" t="s">
        <v>139</v>
      </c>
      <c r="M28" t="s">
        <v>140</v>
      </c>
      <c r="N28" t="s">
        <v>141</v>
      </c>
      <c r="O28" t="str">
        <f>_xlfn.XLOOKUP(tblFeatures[[#This Row],[id]], tblAgeGroups[feature_id], tblAgeGroups[Age_Group])</f>
        <v>Adults</v>
      </c>
      <c r="P28" t="str">
        <f>_xlfn.XLOOKUP(tblFeatures[[#This Row],[id]],tblProfessions[feature_id],tblProfessions[profession])</f>
        <v>Exporters, Manufacturers</v>
      </c>
      <c r="Q28" t="str">
        <f>_xlfn.XLOOKUP(tblFeatures[[#This Row],[id]],tblLocations[feature_id], tblLocations[location])</f>
        <v>Nationwide</v>
      </c>
      <c r="S28" t="str">
        <v>Low-Income Individuals</v>
      </c>
      <c r="T28">
        <v>1</v>
      </c>
    </row>
    <row r="29" spans="1:20">
      <c r="A29">
        <v>28</v>
      </c>
      <c r="B29" t="s">
        <v>12</v>
      </c>
      <c r="D29">
        <v>28</v>
      </c>
      <c r="E29" t="s">
        <v>13</v>
      </c>
      <c r="G29">
        <v>28</v>
      </c>
      <c r="H29" t="s">
        <v>142</v>
      </c>
      <c r="J29">
        <v>28</v>
      </c>
      <c r="K29" t="s">
        <v>143</v>
      </c>
      <c r="L29" t="s">
        <v>144</v>
      </c>
      <c r="M29" t="s">
        <v>145</v>
      </c>
      <c r="N29" t="s">
        <v>146</v>
      </c>
      <c r="O29" t="str">
        <f>_xlfn.XLOOKUP(tblFeatures[[#This Row],[id]], tblAgeGroups[feature_id], tblAgeGroups[Age_Group])</f>
        <v>All Age Groups</v>
      </c>
      <c r="P29" t="str">
        <f>_xlfn.XLOOKUP(tblFeatures[[#This Row],[id]],tblProfessions[feature_id],tblProfessions[profession])</f>
        <v>Entrepreneurs, Farmers, Students</v>
      </c>
      <c r="Q29" t="str">
        <f>_xlfn.XLOOKUP(tblFeatures[[#This Row],[id]],tblLocations[feature_id], tblLocations[location])</f>
        <v>Nationwide</v>
      </c>
      <c r="S29" t="str">
        <v>General Public, Investors</v>
      </c>
      <c r="T29">
        <v>3</v>
      </c>
    </row>
    <row r="30" spans="1:20">
      <c r="A30">
        <v>29</v>
      </c>
      <c r="B30" t="s">
        <v>12</v>
      </c>
      <c r="D30">
        <v>29</v>
      </c>
      <c r="E30" t="s">
        <v>30</v>
      </c>
      <c r="G30">
        <v>29</v>
      </c>
      <c r="H30" t="s">
        <v>147</v>
      </c>
      <c r="J30">
        <v>29</v>
      </c>
      <c r="K30" t="s">
        <v>148</v>
      </c>
      <c r="L30" t="s">
        <v>149</v>
      </c>
      <c r="M30" t="s">
        <v>150</v>
      </c>
      <c r="N30" t="s">
        <v>151</v>
      </c>
      <c r="O30" t="str">
        <f>_xlfn.XLOOKUP(tblFeatures[[#This Row],[id]], tblAgeGroups[feature_id], tblAgeGroups[Age_Group])</f>
        <v>Adults</v>
      </c>
      <c r="P30" t="str">
        <f>_xlfn.XLOOKUP(tblFeatures[[#This Row],[id]],tblProfessions[feature_id],tblProfessions[profession])</f>
        <v>Manufacturers</v>
      </c>
      <c r="Q30" t="str">
        <f>_xlfn.XLOOKUP(tblFeatures[[#This Row],[id]],tblLocations[feature_id], tblLocations[location])</f>
        <v>Nationwide</v>
      </c>
      <c r="S30" t="str">
        <v>Innovators</v>
      </c>
      <c r="T30">
        <v>1</v>
      </c>
    </row>
    <row r="31" spans="1:20">
      <c r="A31">
        <v>30</v>
      </c>
      <c r="B31" t="s">
        <v>12</v>
      </c>
      <c r="D31">
        <v>30</v>
      </c>
      <c r="E31" t="s">
        <v>13</v>
      </c>
      <c r="G31">
        <v>30</v>
      </c>
      <c r="H31" t="s">
        <v>152</v>
      </c>
      <c r="J31">
        <v>30</v>
      </c>
      <c r="K31" t="s">
        <v>153</v>
      </c>
      <c r="L31" t="s">
        <v>154</v>
      </c>
      <c r="M31" t="s">
        <v>155</v>
      </c>
      <c r="N31" t="s">
        <v>156</v>
      </c>
      <c r="O31" t="str">
        <f>_xlfn.XLOOKUP(tblFeatures[[#This Row],[id]], tblAgeGroups[feature_id], tblAgeGroups[Age_Group])</f>
        <v>All Age Groups</v>
      </c>
      <c r="P31" t="str">
        <f>_xlfn.XLOOKUP(tblFeatures[[#This Row],[id]],tblProfessions[feature_id],tblProfessions[profession])</f>
        <v>General Public, Students, Workforce</v>
      </c>
      <c r="Q31" t="str">
        <f>_xlfn.XLOOKUP(tblFeatures[[#This Row],[id]],tblLocations[feature_id], tblLocations[location])</f>
        <v>Nationwide</v>
      </c>
      <c r="S31" t="str">
        <v>Investors</v>
      </c>
      <c r="T31">
        <v>2</v>
      </c>
    </row>
    <row r="32" spans="1:20">
      <c r="A32">
        <v>31</v>
      </c>
      <c r="B32" t="s">
        <v>12</v>
      </c>
      <c r="D32">
        <v>31</v>
      </c>
      <c r="E32" t="s">
        <v>157</v>
      </c>
      <c r="G32">
        <v>31</v>
      </c>
      <c r="H32" t="s">
        <v>158</v>
      </c>
      <c r="J32">
        <v>31</v>
      </c>
      <c r="K32" t="s">
        <v>159</v>
      </c>
      <c r="L32" t="s">
        <v>160</v>
      </c>
      <c r="M32" t="s">
        <v>161</v>
      </c>
      <c r="N32" t="s">
        <v>162</v>
      </c>
      <c r="O32" t="str">
        <f>_xlfn.XLOOKUP(tblFeatures[[#This Row],[id]], tblAgeGroups[feature_id], tblAgeGroups[Age_Group])</f>
        <v>Children, Adults</v>
      </c>
      <c r="P32" t="str">
        <f>_xlfn.XLOOKUP(tblFeatures[[#This Row],[id]],tblProfessions[feature_id],tblProfessions[profession])</f>
        <v>Children, Community Workers, Women</v>
      </c>
      <c r="Q32" t="str">
        <f>_xlfn.XLOOKUP(tblFeatures[[#This Row],[id]],tblLocations[feature_id], tblLocations[location])</f>
        <v>Nationwide</v>
      </c>
      <c r="S32" t="str">
        <v>Farmers</v>
      </c>
      <c r="T32">
        <v>1</v>
      </c>
    </row>
    <row r="33" spans="1:20">
      <c r="A33">
        <v>32</v>
      </c>
      <c r="B33" t="s">
        <v>12</v>
      </c>
      <c r="D33">
        <v>32</v>
      </c>
      <c r="E33" t="s">
        <v>30</v>
      </c>
      <c r="G33">
        <v>32</v>
      </c>
      <c r="H33" t="s">
        <v>163</v>
      </c>
      <c r="J33">
        <v>32</v>
      </c>
      <c r="K33" t="s">
        <v>164</v>
      </c>
      <c r="L33" t="s">
        <v>165</v>
      </c>
      <c r="M33" t="s">
        <v>166</v>
      </c>
      <c r="N33" t="s">
        <v>167</v>
      </c>
      <c r="O33" t="str">
        <f>_xlfn.XLOOKUP(tblFeatures[[#This Row],[id]], tblAgeGroups[feature_id], tblAgeGroups[Age_Group])</f>
        <v>Adults</v>
      </c>
      <c r="P33" t="str">
        <f>_xlfn.XLOOKUP(tblFeatures[[#This Row],[id]],tblProfessions[feature_id],tblProfessions[profession])</f>
        <v>Educators, Students</v>
      </c>
      <c r="Q33" t="str">
        <f>_xlfn.XLOOKUP(tblFeatures[[#This Row],[id]],tblLocations[feature_id], tblLocations[location])</f>
        <v>Nationwide</v>
      </c>
      <c r="S33" t="str">
        <v>Investors, Job Seekers, Mining Companies</v>
      </c>
      <c r="T33">
        <v>1</v>
      </c>
    </row>
    <row r="34" spans="1:20">
      <c r="A34">
        <v>33</v>
      </c>
      <c r="B34" t="s">
        <v>12</v>
      </c>
      <c r="D34">
        <v>33</v>
      </c>
      <c r="E34" t="s">
        <v>13</v>
      </c>
      <c r="G34">
        <v>33</v>
      </c>
      <c r="H34" t="s">
        <v>168</v>
      </c>
      <c r="J34">
        <v>33</v>
      </c>
      <c r="K34" t="s">
        <v>169</v>
      </c>
      <c r="L34" t="s">
        <v>170</v>
      </c>
      <c r="M34" t="s">
        <v>171</v>
      </c>
      <c r="N34" t="s">
        <v>172</v>
      </c>
      <c r="O34" t="str">
        <f>_xlfn.XLOOKUP(tblFeatures[[#This Row],[id]], tblAgeGroups[feature_id], tblAgeGroups[Age_Group])</f>
        <v>All Age Groups</v>
      </c>
      <c r="P34" t="str">
        <f>_xlfn.XLOOKUP(tblFeatures[[#This Row],[id]],tblProfessions[feature_id],tblProfessions[profession])</f>
        <v>Educators, Healthcare Workers, Students</v>
      </c>
      <c r="Q34" t="str">
        <f>_xlfn.XLOOKUP(tblFeatures[[#This Row],[id]],tblLocations[feature_id], tblLocations[location])</f>
        <v>Nationwide</v>
      </c>
      <c r="S34" t="str">
        <v>Entrepreneurs, Investors, Job Seekers, Small Business Owners</v>
      </c>
      <c r="T34">
        <v>1</v>
      </c>
    </row>
    <row r="35" spans="1:20">
      <c r="A35">
        <v>34</v>
      </c>
      <c r="B35" t="s">
        <v>12</v>
      </c>
      <c r="D35">
        <v>34</v>
      </c>
      <c r="E35" t="s">
        <v>13</v>
      </c>
      <c r="G35">
        <v>34</v>
      </c>
      <c r="H35" t="s">
        <v>173</v>
      </c>
      <c r="J35">
        <v>34</v>
      </c>
      <c r="K35" t="s">
        <v>174</v>
      </c>
      <c r="L35" t="s">
        <v>175</v>
      </c>
      <c r="M35" t="s">
        <v>176</v>
      </c>
      <c r="N35" t="s">
        <v>177</v>
      </c>
      <c r="O35" t="str">
        <f>_xlfn.XLOOKUP(tblFeatures[[#This Row],[id]], tblAgeGroups[feature_id], tblAgeGroups[Age_Group])</f>
        <v>All Age Groups</v>
      </c>
      <c r="P35" t="str">
        <f>_xlfn.XLOOKUP(tblFeatures[[#This Row],[id]],tblProfessions[feature_id],tblProfessions[profession])</f>
        <v>Authors, General Public, Publishers</v>
      </c>
      <c r="Q35" t="str">
        <f>_xlfn.XLOOKUP(tblFeatures[[#This Row],[id]],tblLocations[feature_id], tblLocations[location])</f>
        <v>Nationwide</v>
      </c>
      <c r="S35" t="str">
        <v>Job Seekers, Tourism Entrepreneurs</v>
      </c>
      <c r="T35">
        <v>1</v>
      </c>
    </row>
    <row r="36" spans="1:20">
      <c r="A36">
        <v>35</v>
      </c>
      <c r="B36" t="s">
        <v>12</v>
      </c>
      <c r="D36">
        <v>35</v>
      </c>
      <c r="E36" t="s">
        <v>30</v>
      </c>
      <c r="G36">
        <v>35</v>
      </c>
      <c r="H36" t="s">
        <v>178</v>
      </c>
      <c r="J36">
        <v>35</v>
      </c>
      <c r="K36" t="s">
        <v>179</v>
      </c>
      <c r="L36" t="s">
        <v>180</v>
      </c>
      <c r="M36" t="s">
        <v>181</v>
      </c>
      <c r="N36" t="s">
        <v>182</v>
      </c>
      <c r="O36" t="str">
        <f>_xlfn.XLOOKUP(tblFeatures[[#This Row],[id]], tblAgeGroups[feature_id], tblAgeGroups[Age_Group])</f>
        <v>Adults</v>
      </c>
      <c r="P36" t="str">
        <f>_xlfn.XLOOKUP(tblFeatures[[#This Row],[id]],tblProfessions[feature_id],tblProfessions[profession])</f>
        <v>Industry Professionals, Job Seekers, Workers</v>
      </c>
      <c r="Q36" t="str">
        <f>_xlfn.XLOOKUP(tblFeatures[[#This Row],[id]],tblLocations[feature_id], tblLocations[location])</f>
        <v>Nationwide</v>
      </c>
      <c r="S36" t="str">
        <v>Entrepreneurs, Innovators, Researchers</v>
      </c>
      <c r="T36">
        <v>1</v>
      </c>
    </row>
    <row r="37" spans="1:20">
      <c r="A37">
        <v>36</v>
      </c>
      <c r="B37" t="s">
        <v>12</v>
      </c>
      <c r="D37">
        <v>36</v>
      </c>
      <c r="E37" t="s">
        <v>30</v>
      </c>
      <c r="G37">
        <v>36</v>
      </c>
      <c r="H37" t="s">
        <v>183</v>
      </c>
      <c r="J37">
        <v>36</v>
      </c>
      <c r="K37" t="s">
        <v>184</v>
      </c>
      <c r="L37" t="s">
        <v>185</v>
      </c>
      <c r="M37" t="s">
        <v>186</v>
      </c>
      <c r="N37" t="s">
        <v>187</v>
      </c>
      <c r="O37" t="str">
        <f>_xlfn.XLOOKUP(tblFeatures[[#This Row],[id]], tblAgeGroups[feature_id], tblAgeGroups[Age_Group])</f>
        <v>Adults</v>
      </c>
      <c r="P37" t="str">
        <f>_xlfn.XLOOKUP(tblFeatures[[#This Row],[id]],tblProfessions[feature_id],tblProfessions[profession])</f>
        <v>Researchers, Students</v>
      </c>
      <c r="Q37" t="str">
        <f>_xlfn.XLOOKUP(tblFeatures[[#This Row],[id]],tblLocations[feature_id], tblLocations[location])</f>
        <v>Nationwide</v>
      </c>
      <c r="S37" t="str">
        <v>Investors, Technologists</v>
      </c>
      <c r="T37">
        <v>1</v>
      </c>
    </row>
    <row r="38" spans="1:20">
      <c r="A38">
        <v>37</v>
      </c>
      <c r="B38" t="s">
        <v>12</v>
      </c>
      <c r="D38">
        <v>37</v>
      </c>
      <c r="E38" t="s">
        <v>30</v>
      </c>
      <c r="G38">
        <v>37</v>
      </c>
      <c r="H38" t="s">
        <v>163</v>
      </c>
      <c r="J38">
        <v>37</v>
      </c>
      <c r="K38" t="s">
        <v>188</v>
      </c>
      <c r="L38" t="s">
        <v>189</v>
      </c>
      <c r="M38" t="s">
        <v>190</v>
      </c>
      <c r="N38" t="s">
        <v>191</v>
      </c>
      <c r="O38" t="str">
        <f>_xlfn.XLOOKUP(tblFeatures[[#This Row],[id]], tblAgeGroups[feature_id], tblAgeGroups[Age_Group])</f>
        <v>Adults</v>
      </c>
      <c r="P38" t="str">
        <f>_xlfn.XLOOKUP(tblFeatures[[#This Row],[id]],tblProfessions[feature_id],tblProfessions[profession])</f>
        <v>Educators, Students</v>
      </c>
      <c r="Q38" t="str">
        <f>_xlfn.XLOOKUP(tblFeatures[[#This Row],[id]],tblLocations[feature_id], tblLocations[location])</f>
        <v>Nationwide</v>
      </c>
      <c r="S38" t="str">
        <v>Researchers</v>
      </c>
      <c r="T38">
        <v>1</v>
      </c>
    </row>
    <row r="39" spans="1:20">
      <c r="A39">
        <v>38</v>
      </c>
      <c r="B39" t="s">
        <v>12</v>
      </c>
      <c r="D39">
        <v>38</v>
      </c>
      <c r="E39" t="s">
        <v>30</v>
      </c>
      <c r="G39">
        <v>38</v>
      </c>
      <c r="H39" t="s">
        <v>192</v>
      </c>
      <c r="J39">
        <v>38</v>
      </c>
      <c r="K39" t="s">
        <v>193</v>
      </c>
      <c r="L39" t="s">
        <v>194</v>
      </c>
      <c r="M39" t="s">
        <v>195</v>
      </c>
      <c r="N39" t="s">
        <v>196</v>
      </c>
      <c r="O39" t="str">
        <f>_xlfn.XLOOKUP(tblFeatures[[#This Row],[id]], tblAgeGroups[feature_id], tblAgeGroups[Age_Group])</f>
        <v>Adults</v>
      </c>
      <c r="P39" t="str">
        <f>_xlfn.XLOOKUP(tblFeatures[[#This Row],[id]],tblProfessions[feature_id],tblProfessions[profession])</f>
        <v>Healthcare Workers, Students</v>
      </c>
      <c r="Q39" t="str">
        <f>_xlfn.XLOOKUP(tblFeatures[[#This Row],[id]],tblLocations[feature_id], tblLocations[location])</f>
        <v>Nationwide</v>
      </c>
      <c r="S39" t="str">
        <v>Farmers, Researchers</v>
      </c>
      <c r="T39">
        <v>1</v>
      </c>
    </row>
    <row r="40" spans="1:20">
      <c r="A40">
        <v>39</v>
      </c>
      <c r="B40" t="s">
        <v>12</v>
      </c>
      <c r="D40">
        <v>39</v>
      </c>
      <c r="E40" t="s">
        <v>13</v>
      </c>
      <c r="G40">
        <v>39</v>
      </c>
      <c r="H40" t="s">
        <v>25</v>
      </c>
      <c r="J40">
        <v>39</v>
      </c>
      <c r="K40" t="s">
        <v>197</v>
      </c>
      <c r="L40" t="s">
        <v>198</v>
      </c>
      <c r="M40" t="s">
        <v>199</v>
      </c>
      <c r="N40" t="s">
        <v>200</v>
      </c>
      <c r="O40" t="str">
        <f>_xlfn.XLOOKUP(tblFeatures[[#This Row],[id]], tblAgeGroups[feature_id], tblAgeGroups[Age_Group])</f>
        <v>All Age Groups</v>
      </c>
      <c r="P40" t="str">
        <f>_xlfn.XLOOKUP(tblFeatures[[#This Row],[id]],tblProfessions[feature_id],tblProfessions[profession])</f>
        <v>General Public</v>
      </c>
      <c r="Q40" t="str">
        <f>_xlfn.XLOOKUP(tblFeatures[[#This Row],[id]],tblLocations[feature_id], tblLocations[location])</f>
        <v>Nationwide</v>
      </c>
      <c r="S40" t="str">
        <v>Researchers, Technologists</v>
      </c>
      <c r="T40">
        <v>1</v>
      </c>
    </row>
    <row r="41" spans="1:20">
      <c r="A41">
        <v>40</v>
      </c>
      <c r="B41" t="s">
        <v>201</v>
      </c>
      <c r="D41">
        <v>40</v>
      </c>
      <c r="E41" t="s">
        <v>30</v>
      </c>
      <c r="G41">
        <v>40</v>
      </c>
      <c r="H41" t="s">
        <v>25</v>
      </c>
      <c r="J41">
        <v>40</v>
      </c>
      <c r="K41" t="s">
        <v>202</v>
      </c>
      <c r="L41" t="s">
        <v>203</v>
      </c>
      <c r="M41" t="s">
        <v>204</v>
      </c>
      <c r="N41" t="s">
        <v>205</v>
      </c>
      <c r="O41" t="str">
        <f>_xlfn.XLOOKUP(tblFeatures[[#This Row],[id]], tblAgeGroups[feature_id], tblAgeGroups[Age_Group])</f>
        <v>Adults</v>
      </c>
      <c r="P41" t="str">
        <f>_xlfn.XLOOKUP(tblFeatures[[#This Row],[id]],tblProfessions[feature_id],tblProfessions[profession])</f>
        <v>General Public</v>
      </c>
      <c r="Q41" t="str">
        <f>_xlfn.XLOOKUP(tblFeatures[[#This Row],[id]],tblLocations[feature_id], tblLocations[location])</f>
        <v>Urban Areas</v>
      </c>
      <c r="S41" t="str">
        <v>Exporters</v>
      </c>
      <c r="T41">
        <v>3</v>
      </c>
    </row>
    <row r="42" spans="1:20">
      <c r="A42">
        <v>41</v>
      </c>
      <c r="B42" t="s">
        <v>12</v>
      </c>
      <c r="D42">
        <v>41</v>
      </c>
      <c r="E42" t="s">
        <v>30</v>
      </c>
      <c r="G42">
        <v>41</v>
      </c>
      <c r="H42" t="s">
        <v>206</v>
      </c>
      <c r="J42">
        <v>41</v>
      </c>
      <c r="K42" t="s">
        <v>207</v>
      </c>
      <c r="L42" t="s">
        <v>208</v>
      </c>
      <c r="M42" t="s">
        <v>209</v>
      </c>
      <c r="N42" t="s">
        <v>210</v>
      </c>
      <c r="O42" t="str">
        <f>_xlfn.XLOOKUP(tblFeatures[[#This Row],[id]], tblAgeGroups[feature_id], tblAgeGroups[Age_Group])</f>
        <v>Adults</v>
      </c>
      <c r="P42" t="str">
        <f>_xlfn.XLOOKUP(tblFeatures[[#This Row],[id]],tblProfessions[feature_id],tblProfessions[profession])</f>
        <v>Low-Income Individuals</v>
      </c>
      <c r="Q42" t="str">
        <f>_xlfn.XLOOKUP(tblFeatures[[#This Row],[id]],tblLocations[feature_id], tblLocations[location])</f>
        <v>Nationwide</v>
      </c>
      <c r="S42" t="str">
        <v>Banks, Borrowers, Policy Makers</v>
      </c>
      <c r="T42">
        <v>1</v>
      </c>
    </row>
    <row r="43" spans="1:20">
      <c r="A43">
        <v>42</v>
      </c>
      <c r="B43" t="s">
        <v>12</v>
      </c>
      <c r="D43">
        <v>42</v>
      </c>
      <c r="E43" t="s">
        <v>30</v>
      </c>
      <c r="G43">
        <v>42</v>
      </c>
      <c r="H43" t="s">
        <v>25</v>
      </c>
      <c r="J43">
        <v>42</v>
      </c>
      <c r="K43" t="s">
        <v>211</v>
      </c>
      <c r="L43" t="s">
        <v>212</v>
      </c>
      <c r="M43" t="s">
        <v>213</v>
      </c>
      <c r="N43" t="s">
        <v>214</v>
      </c>
      <c r="O43" t="str">
        <f>_xlfn.XLOOKUP(tblFeatures[[#This Row],[id]], tblAgeGroups[feature_id], tblAgeGroups[Age_Group])</f>
        <v>Adults</v>
      </c>
      <c r="P43" t="str">
        <f>_xlfn.XLOOKUP(tblFeatures[[#This Row],[id]],tblProfessions[feature_id],tblProfessions[profession])</f>
        <v>General Public</v>
      </c>
      <c r="Q43" t="str">
        <f>_xlfn.XLOOKUP(tblFeatures[[#This Row],[id]],tblLocations[feature_id], tblLocations[location])</f>
        <v>Nationwide</v>
      </c>
      <c r="S43" t="str">
        <v>Low-Income Individuals, Policy Makers, Rural Population</v>
      </c>
      <c r="T43">
        <v>1</v>
      </c>
    </row>
    <row r="44" spans="1:20">
      <c r="A44">
        <v>43</v>
      </c>
      <c r="B44" t="s">
        <v>12</v>
      </c>
      <c r="D44">
        <v>43</v>
      </c>
      <c r="E44" t="s">
        <v>13</v>
      </c>
      <c r="G44">
        <v>43</v>
      </c>
      <c r="H44" t="s">
        <v>215</v>
      </c>
      <c r="J44">
        <v>43</v>
      </c>
      <c r="K44" t="s">
        <v>216</v>
      </c>
      <c r="L44" t="s">
        <v>217</v>
      </c>
      <c r="M44" t="s">
        <v>218</v>
      </c>
      <c r="N44" t="s">
        <v>219</v>
      </c>
      <c r="O44" t="str">
        <f>_xlfn.XLOOKUP(tblFeatures[[#This Row],[id]], tblAgeGroups[feature_id], tblAgeGroups[Age_Group])</f>
        <v>All Age Groups</v>
      </c>
      <c r="P44" t="str">
        <f>_xlfn.XLOOKUP(tblFeatures[[#This Row],[id]],tblProfessions[feature_id],tblProfessions[profession])</f>
        <v>General Public, Investors</v>
      </c>
      <c r="Q44" t="str">
        <f>_xlfn.XLOOKUP(tblFeatures[[#This Row],[id]],tblLocations[feature_id], tblLocations[location])</f>
        <v>Nationwide</v>
      </c>
      <c r="S44" t="str">
        <v>Policy Makers, Retirees, Working Population</v>
      </c>
      <c r="T44">
        <v>1</v>
      </c>
    </row>
    <row r="45" spans="1:20">
      <c r="A45">
        <v>44</v>
      </c>
      <c r="B45" t="s">
        <v>12</v>
      </c>
      <c r="D45">
        <v>44</v>
      </c>
      <c r="E45" t="s">
        <v>13</v>
      </c>
      <c r="G45">
        <v>44</v>
      </c>
      <c r="H45" t="s">
        <v>25</v>
      </c>
      <c r="J45">
        <v>44</v>
      </c>
      <c r="K45" t="s">
        <v>220</v>
      </c>
      <c r="L45" t="s">
        <v>221</v>
      </c>
      <c r="M45" t="s">
        <v>222</v>
      </c>
      <c r="N45" t="s">
        <v>223</v>
      </c>
      <c r="O45" t="str">
        <f>_xlfn.XLOOKUP(tblFeatures[[#This Row],[id]], tblAgeGroups[feature_id], tblAgeGroups[Age_Group])</f>
        <v>All Age Groups</v>
      </c>
      <c r="P45" t="str">
        <f>_xlfn.XLOOKUP(tblFeatures[[#This Row],[id]],tblProfessions[feature_id],tblProfessions[profession])</f>
        <v>General Public</v>
      </c>
      <c r="Q45" t="str">
        <f>_xlfn.XLOOKUP(tblFeatures[[#This Row],[id]],tblLocations[feature_id], tblLocations[location])</f>
        <v>Nationwide</v>
      </c>
      <c r="S45" t="str">
        <v>Businesses, Investors, Policy Makers</v>
      </c>
      <c r="T45">
        <v>1</v>
      </c>
    </row>
    <row r="46" spans="1:20">
      <c r="A46">
        <v>45</v>
      </c>
      <c r="B46" t="s">
        <v>12</v>
      </c>
      <c r="D46">
        <v>45</v>
      </c>
      <c r="E46" t="s">
        <v>30</v>
      </c>
      <c r="G46">
        <v>45</v>
      </c>
      <c r="H46" t="s">
        <v>215</v>
      </c>
      <c r="J46">
        <v>45</v>
      </c>
      <c r="K46" t="s">
        <v>224</v>
      </c>
      <c r="L46" t="s">
        <v>225</v>
      </c>
      <c r="M46" t="s">
        <v>226</v>
      </c>
      <c r="N46" t="s">
        <v>227</v>
      </c>
      <c r="O46" t="str">
        <f>_xlfn.XLOOKUP(tblFeatures[[#This Row],[id]], tblAgeGroups[feature_id], tblAgeGroups[Age_Group])</f>
        <v>Adults</v>
      </c>
      <c r="P46" t="str">
        <f>_xlfn.XLOOKUP(tblFeatures[[#This Row],[id]],tblProfessions[feature_id],tblProfessions[profession])</f>
        <v>General Public, Investors</v>
      </c>
      <c r="Q46" t="str">
        <f>_xlfn.XLOOKUP(tblFeatures[[#This Row],[id]],tblLocations[feature_id], tblLocations[location])</f>
        <v>Nationwide</v>
      </c>
      <c r="S46" t="str">
        <v>Businesses, General Public</v>
      </c>
      <c r="T46">
        <v>1</v>
      </c>
    </row>
    <row r="47" spans="1:20">
      <c r="A47">
        <v>46</v>
      </c>
      <c r="B47" t="s">
        <v>12</v>
      </c>
      <c r="D47">
        <v>46</v>
      </c>
      <c r="E47" t="s">
        <v>13</v>
      </c>
      <c r="G47">
        <v>46</v>
      </c>
      <c r="H47" t="s">
        <v>25</v>
      </c>
      <c r="J47">
        <v>46</v>
      </c>
      <c r="K47" t="s">
        <v>228</v>
      </c>
      <c r="L47" t="s">
        <v>229</v>
      </c>
      <c r="M47" t="s">
        <v>230</v>
      </c>
      <c r="N47" t="s">
        <v>231</v>
      </c>
      <c r="O47" t="str">
        <f>_xlfn.XLOOKUP(tblFeatures[[#This Row],[id]], tblAgeGroups[feature_id], tblAgeGroups[Age_Group])</f>
        <v>All Age Groups</v>
      </c>
      <c r="P47" t="str">
        <f>_xlfn.XLOOKUP(tblFeatures[[#This Row],[id]],tblProfessions[feature_id],tblProfessions[profession])</f>
        <v>General Public</v>
      </c>
      <c r="Q47" t="str">
        <f>_xlfn.XLOOKUP(tblFeatures[[#This Row],[id]],tblLocations[feature_id], tblLocations[location])</f>
        <v>Nationwide</v>
      </c>
    </row>
    <row r="48" spans="1:20">
      <c r="A48">
        <v>47</v>
      </c>
      <c r="B48" t="s">
        <v>201</v>
      </c>
      <c r="D48">
        <v>47</v>
      </c>
      <c r="E48" t="s">
        <v>13</v>
      </c>
      <c r="G48">
        <v>47</v>
      </c>
      <c r="H48" t="s">
        <v>232</v>
      </c>
      <c r="J48">
        <v>47</v>
      </c>
      <c r="K48" t="s">
        <v>233</v>
      </c>
      <c r="L48" t="s">
        <v>234</v>
      </c>
      <c r="M48" t="s">
        <v>235</v>
      </c>
      <c r="N48" t="s">
        <v>236</v>
      </c>
      <c r="O48" t="str">
        <f>_xlfn.XLOOKUP(tblFeatures[[#This Row],[id]], tblAgeGroups[feature_id], tblAgeGroups[Age_Group])</f>
        <v>All Age Groups</v>
      </c>
      <c r="P48" t="str">
        <f>_xlfn.XLOOKUP(tblFeatures[[#This Row],[id]],tblProfessions[feature_id],tblProfessions[profession])</f>
        <v>Innovators</v>
      </c>
      <c r="Q48" t="str">
        <f>_xlfn.XLOOKUP(tblFeatures[[#This Row],[id]],tblLocations[feature_id], tblLocations[location])</f>
        <v>Urban Areas</v>
      </c>
    </row>
    <row r="49" spans="1:17">
      <c r="A49">
        <v>48</v>
      </c>
      <c r="B49" t="s">
        <v>12</v>
      </c>
      <c r="D49">
        <v>48</v>
      </c>
      <c r="E49" t="s">
        <v>13</v>
      </c>
      <c r="G49">
        <v>48</v>
      </c>
      <c r="H49" t="s">
        <v>25</v>
      </c>
      <c r="J49">
        <v>48</v>
      </c>
      <c r="K49" t="s">
        <v>237</v>
      </c>
      <c r="L49" t="s">
        <v>238</v>
      </c>
      <c r="M49" t="s">
        <v>239</v>
      </c>
      <c r="N49" t="s">
        <v>240</v>
      </c>
      <c r="O49" t="str">
        <f>_xlfn.XLOOKUP(tblFeatures[[#This Row],[id]], tblAgeGroups[feature_id], tblAgeGroups[Age_Group])</f>
        <v>All Age Groups</v>
      </c>
      <c r="P49" t="str">
        <f>_xlfn.XLOOKUP(tblFeatures[[#This Row],[id]],tblProfessions[feature_id],tblProfessions[profession])</f>
        <v>General Public</v>
      </c>
      <c r="Q49" t="str">
        <f>_xlfn.XLOOKUP(tblFeatures[[#This Row],[id]],tblLocations[feature_id], tblLocations[location])</f>
        <v>Nationwide</v>
      </c>
    </row>
    <row r="50" spans="1:17">
      <c r="A50">
        <v>49</v>
      </c>
      <c r="B50" t="s">
        <v>12</v>
      </c>
      <c r="D50">
        <v>49</v>
      </c>
      <c r="E50" t="s">
        <v>13</v>
      </c>
      <c r="G50">
        <v>49</v>
      </c>
      <c r="H50" t="s">
        <v>25</v>
      </c>
      <c r="J50">
        <v>49</v>
      </c>
      <c r="K50" t="s">
        <v>241</v>
      </c>
      <c r="L50" t="s">
        <v>242</v>
      </c>
      <c r="M50" t="s">
        <v>243</v>
      </c>
      <c r="N50" t="s">
        <v>244</v>
      </c>
      <c r="O50" t="str">
        <f>_xlfn.XLOOKUP(tblFeatures[[#This Row],[id]], tblAgeGroups[feature_id], tblAgeGroups[Age_Group])</f>
        <v>All Age Groups</v>
      </c>
      <c r="P50" t="str">
        <f>_xlfn.XLOOKUP(tblFeatures[[#This Row],[id]],tblProfessions[feature_id],tblProfessions[profession])</f>
        <v>General Public</v>
      </c>
      <c r="Q50" t="str">
        <f>_xlfn.XLOOKUP(tblFeatures[[#This Row],[id]],tblLocations[feature_id], tblLocations[location])</f>
        <v>Nationwide</v>
      </c>
    </row>
    <row r="51" spans="1:17">
      <c r="A51">
        <v>50</v>
      </c>
      <c r="B51" t="s">
        <v>12</v>
      </c>
      <c r="D51">
        <v>50</v>
      </c>
      <c r="E51" t="s">
        <v>13</v>
      </c>
      <c r="G51">
        <v>50</v>
      </c>
      <c r="H51" t="s">
        <v>245</v>
      </c>
      <c r="J51">
        <v>50</v>
      </c>
      <c r="K51" t="s">
        <v>246</v>
      </c>
      <c r="L51" t="s">
        <v>247</v>
      </c>
      <c r="M51" t="s">
        <v>248</v>
      </c>
      <c r="N51" t="s">
        <v>249</v>
      </c>
      <c r="O51" t="str">
        <f>_xlfn.XLOOKUP(tblFeatures[[#This Row],[id]], tblAgeGroups[feature_id], tblAgeGroups[Age_Group])</f>
        <v>All Age Groups</v>
      </c>
      <c r="P51" t="str">
        <f>_xlfn.XLOOKUP(tblFeatures[[#This Row],[id]],tblProfessions[feature_id],tblProfessions[profession])</f>
        <v>Investors</v>
      </c>
      <c r="Q51" t="str">
        <f>_xlfn.XLOOKUP(tblFeatures[[#This Row],[id]],tblLocations[feature_id], tblLocations[location])</f>
        <v>Nationwide</v>
      </c>
    </row>
    <row r="52" spans="1:17">
      <c r="A52">
        <v>51</v>
      </c>
      <c r="B52" t="s">
        <v>12</v>
      </c>
      <c r="D52">
        <v>51</v>
      </c>
      <c r="E52" t="s">
        <v>13</v>
      </c>
      <c r="G52">
        <v>51</v>
      </c>
      <c r="H52" t="s">
        <v>25</v>
      </c>
      <c r="J52">
        <v>51</v>
      </c>
      <c r="K52" t="s">
        <v>250</v>
      </c>
      <c r="L52" t="s">
        <v>251</v>
      </c>
      <c r="M52" t="s">
        <v>252</v>
      </c>
      <c r="N52" t="s">
        <v>253</v>
      </c>
      <c r="O52" t="str">
        <f>_xlfn.XLOOKUP(tblFeatures[[#This Row],[id]], tblAgeGroups[feature_id], tblAgeGroups[Age_Group])</f>
        <v>All Age Groups</v>
      </c>
      <c r="P52" t="str">
        <f>_xlfn.XLOOKUP(tblFeatures[[#This Row],[id]],tblProfessions[feature_id],tblProfessions[profession])</f>
        <v>General Public</v>
      </c>
      <c r="Q52" t="str">
        <f>_xlfn.XLOOKUP(tblFeatures[[#This Row],[id]],tblLocations[feature_id], tblLocations[location])</f>
        <v>Nationwide</v>
      </c>
    </row>
    <row r="53" spans="1:17">
      <c r="A53">
        <v>52</v>
      </c>
      <c r="B53" t="s">
        <v>85</v>
      </c>
      <c r="D53">
        <v>52</v>
      </c>
      <c r="E53" t="s">
        <v>13</v>
      </c>
      <c r="G53">
        <v>52</v>
      </c>
      <c r="H53" t="s">
        <v>25</v>
      </c>
      <c r="J53">
        <v>52</v>
      </c>
      <c r="K53" t="s">
        <v>254</v>
      </c>
      <c r="L53" t="s">
        <v>255</v>
      </c>
      <c r="M53" t="s">
        <v>256</v>
      </c>
      <c r="N53" t="s">
        <v>257</v>
      </c>
      <c r="O53" t="str">
        <f>_xlfn.XLOOKUP(tblFeatures[[#This Row],[id]], tblAgeGroups[feature_id], tblAgeGroups[Age_Group])</f>
        <v>All Age Groups</v>
      </c>
      <c r="P53" t="str">
        <f>_xlfn.XLOOKUP(tblFeatures[[#This Row],[id]],tblProfessions[feature_id],tblProfessions[profession])</f>
        <v>General Public</v>
      </c>
      <c r="Q53" t="str">
        <f>_xlfn.XLOOKUP(tblFeatures[[#This Row],[id]],tblLocations[feature_id], tblLocations[location])</f>
        <v>Bihar</v>
      </c>
    </row>
    <row r="54" spans="1:17">
      <c r="A54">
        <v>53</v>
      </c>
      <c r="B54" t="s">
        <v>258</v>
      </c>
      <c r="D54">
        <v>53</v>
      </c>
      <c r="E54" t="s">
        <v>30</v>
      </c>
      <c r="G54">
        <v>53</v>
      </c>
      <c r="H54" t="s">
        <v>259</v>
      </c>
      <c r="J54">
        <v>53</v>
      </c>
      <c r="K54" t="s">
        <v>260</v>
      </c>
      <c r="L54" t="s">
        <v>261</v>
      </c>
      <c r="M54" t="s">
        <v>262</v>
      </c>
      <c r="N54" t="s">
        <v>263</v>
      </c>
      <c r="O54" t="str">
        <f>_xlfn.XLOOKUP(tblFeatures[[#This Row],[id]], tblAgeGroups[feature_id], tblAgeGroups[Age_Group])</f>
        <v>Adults</v>
      </c>
      <c r="P54" t="str">
        <f>_xlfn.XLOOKUP(tblFeatures[[#This Row],[id]],tblProfessions[feature_id],tblProfessions[profession])</f>
        <v>Farmers</v>
      </c>
      <c r="Q54" t="str">
        <f>_xlfn.XLOOKUP(tblFeatures[[#This Row],[id]],tblLocations[feature_id], tblLocations[location])</f>
        <v>Mithilanchal</v>
      </c>
    </row>
    <row r="55" spans="1:17">
      <c r="A55">
        <v>54</v>
      </c>
      <c r="B55" t="s">
        <v>12</v>
      </c>
      <c r="D55">
        <v>54</v>
      </c>
      <c r="E55" t="s">
        <v>30</v>
      </c>
      <c r="G55">
        <v>54</v>
      </c>
      <c r="H55" t="s">
        <v>264</v>
      </c>
      <c r="J55">
        <v>54</v>
      </c>
      <c r="K55" t="s">
        <v>265</v>
      </c>
      <c r="L55" t="s">
        <v>266</v>
      </c>
      <c r="M55" t="s">
        <v>267</v>
      </c>
      <c r="N55" t="s">
        <v>268</v>
      </c>
      <c r="O55" t="str">
        <f>_xlfn.XLOOKUP(tblFeatures[[#This Row],[id]], tblAgeGroups[feature_id], tblAgeGroups[Age_Group])</f>
        <v>Adults</v>
      </c>
      <c r="P55" t="str">
        <f>_xlfn.XLOOKUP(tblFeatures[[#This Row],[id]],tblProfessions[feature_id],tblProfessions[profession])</f>
        <v>Investors, Job Seekers, Mining Companies</v>
      </c>
      <c r="Q55" t="str">
        <f>_xlfn.XLOOKUP(tblFeatures[[#This Row],[id]],tblLocations[feature_id], tblLocations[location])</f>
        <v>Nationwide</v>
      </c>
    </row>
    <row r="56" spans="1:17">
      <c r="A56">
        <v>55</v>
      </c>
      <c r="B56" t="s">
        <v>12</v>
      </c>
      <c r="D56">
        <v>55</v>
      </c>
      <c r="E56" t="s">
        <v>30</v>
      </c>
      <c r="G56">
        <v>55</v>
      </c>
      <c r="H56" t="s">
        <v>269</v>
      </c>
      <c r="J56">
        <v>55</v>
      </c>
      <c r="K56" t="s">
        <v>270</v>
      </c>
      <c r="L56" t="s">
        <v>271</v>
      </c>
      <c r="M56" t="s">
        <v>272</v>
      </c>
      <c r="N56" t="s">
        <v>273</v>
      </c>
      <c r="O56" t="str">
        <f>_xlfn.XLOOKUP(tblFeatures[[#This Row],[id]], tblAgeGroups[feature_id], tblAgeGroups[Age_Group])</f>
        <v>Adults</v>
      </c>
      <c r="P56" t="str">
        <f>_xlfn.XLOOKUP(tblFeatures[[#This Row],[id]],tblProfessions[feature_id],tblProfessions[profession])</f>
        <v>Entrepreneurs, Investors, Job Seekers, Small Business Owners</v>
      </c>
      <c r="Q56" t="str">
        <f>_xlfn.XLOOKUP(tblFeatures[[#This Row],[id]],tblLocations[feature_id], tblLocations[location])</f>
        <v>Nationwide</v>
      </c>
    </row>
    <row r="57" spans="1:17">
      <c r="A57">
        <v>56</v>
      </c>
      <c r="B57" t="s">
        <v>12</v>
      </c>
      <c r="D57">
        <v>56</v>
      </c>
      <c r="E57" t="s">
        <v>30</v>
      </c>
      <c r="G57">
        <v>56</v>
      </c>
      <c r="H57" t="s">
        <v>274</v>
      </c>
      <c r="J57">
        <v>56</v>
      </c>
      <c r="K57" t="s">
        <v>275</v>
      </c>
      <c r="L57" t="s">
        <v>276</v>
      </c>
      <c r="M57" t="s">
        <v>277</v>
      </c>
      <c r="N57" t="s">
        <v>278</v>
      </c>
      <c r="O57" t="str">
        <f>_xlfn.XLOOKUP(tblFeatures[[#This Row],[id]], tblAgeGroups[feature_id], tblAgeGroups[Age_Group])</f>
        <v>Adults</v>
      </c>
      <c r="P57" t="str">
        <f>_xlfn.XLOOKUP(tblFeatures[[#This Row],[id]],tblProfessions[feature_id],tblProfessions[profession])</f>
        <v>Job Seekers, Tourism Entrepreneurs</v>
      </c>
      <c r="Q57" t="str">
        <f>_xlfn.XLOOKUP(tblFeatures[[#This Row],[id]],tblLocations[feature_id], tblLocations[location])</f>
        <v>Nationwide</v>
      </c>
    </row>
    <row r="58" spans="1:17">
      <c r="A58">
        <v>57</v>
      </c>
      <c r="B58" t="s">
        <v>12</v>
      </c>
      <c r="D58">
        <v>57</v>
      </c>
      <c r="E58" t="s">
        <v>30</v>
      </c>
      <c r="G58">
        <v>57</v>
      </c>
      <c r="H58" t="s">
        <v>279</v>
      </c>
      <c r="J58">
        <v>57</v>
      </c>
      <c r="K58" t="s">
        <v>280</v>
      </c>
      <c r="L58" t="s">
        <v>281</v>
      </c>
      <c r="M58" t="s">
        <v>282</v>
      </c>
      <c r="N58" t="s">
        <v>283</v>
      </c>
      <c r="O58" t="str">
        <f>_xlfn.XLOOKUP(tblFeatures[[#This Row],[id]], tblAgeGroups[feature_id], tblAgeGroups[Age_Group])</f>
        <v>Adults</v>
      </c>
      <c r="P58" t="str">
        <f>_xlfn.XLOOKUP(tblFeatures[[#This Row],[id]],tblProfessions[feature_id],tblProfessions[profession])</f>
        <v>Entrepreneurs, Innovators, Researchers</v>
      </c>
      <c r="Q58" t="str">
        <f>_xlfn.XLOOKUP(tblFeatures[[#This Row],[id]],tblLocations[feature_id], tblLocations[location])</f>
        <v>Nationwide</v>
      </c>
    </row>
    <row r="59" spans="1:17">
      <c r="A59">
        <v>58</v>
      </c>
      <c r="B59" t="s">
        <v>12</v>
      </c>
      <c r="D59">
        <v>58</v>
      </c>
      <c r="E59" t="s">
        <v>30</v>
      </c>
      <c r="G59">
        <v>58</v>
      </c>
      <c r="H59" t="s">
        <v>284</v>
      </c>
      <c r="J59">
        <v>58</v>
      </c>
      <c r="K59" t="s">
        <v>285</v>
      </c>
      <c r="L59" t="s">
        <v>286</v>
      </c>
      <c r="M59" t="s">
        <v>287</v>
      </c>
      <c r="N59" t="s">
        <v>288</v>
      </c>
      <c r="O59" t="str">
        <f>_xlfn.XLOOKUP(tblFeatures[[#This Row],[id]], tblAgeGroups[feature_id], tblAgeGroups[Age_Group])</f>
        <v>Adults</v>
      </c>
      <c r="P59" t="str">
        <f>_xlfn.XLOOKUP(tblFeatures[[#This Row],[id]],tblProfessions[feature_id],tblProfessions[profession])</f>
        <v>Investors, Technologists</v>
      </c>
      <c r="Q59" t="str">
        <f>_xlfn.XLOOKUP(tblFeatures[[#This Row],[id]],tblLocations[feature_id], tblLocations[location])</f>
        <v>Nationwide</v>
      </c>
    </row>
    <row r="60" spans="1:17">
      <c r="A60">
        <v>59</v>
      </c>
      <c r="B60" t="s">
        <v>12</v>
      </c>
      <c r="D60">
        <v>59</v>
      </c>
      <c r="E60" t="s">
        <v>30</v>
      </c>
      <c r="G60">
        <v>59</v>
      </c>
      <c r="H60" t="s">
        <v>289</v>
      </c>
      <c r="J60">
        <v>59</v>
      </c>
      <c r="K60" t="s">
        <v>290</v>
      </c>
      <c r="L60" t="s">
        <v>291</v>
      </c>
      <c r="M60" t="s">
        <v>292</v>
      </c>
      <c r="N60" t="s">
        <v>293</v>
      </c>
      <c r="O60" t="str">
        <f>_xlfn.XLOOKUP(tblFeatures[[#This Row],[id]], tblAgeGroups[feature_id], tblAgeGroups[Age_Group])</f>
        <v>Adults</v>
      </c>
      <c r="P60" t="str">
        <f>_xlfn.XLOOKUP(tblFeatures[[#This Row],[id]],tblProfessions[feature_id],tblProfessions[profession])</f>
        <v>Researchers</v>
      </c>
      <c r="Q60" t="str">
        <f>_xlfn.XLOOKUP(tblFeatures[[#This Row],[id]],tblLocations[feature_id], tblLocations[location])</f>
        <v>Nationwide</v>
      </c>
    </row>
    <row r="61" spans="1:17">
      <c r="A61">
        <v>60</v>
      </c>
      <c r="B61" t="s">
        <v>12</v>
      </c>
      <c r="D61">
        <v>60</v>
      </c>
      <c r="E61" t="s">
        <v>30</v>
      </c>
      <c r="G61">
        <v>60</v>
      </c>
      <c r="H61" t="s">
        <v>294</v>
      </c>
      <c r="J61">
        <v>60</v>
      </c>
      <c r="K61" t="s">
        <v>295</v>
      </c>
      <c r="L61" t="s">
        <v>296</v>
      </c>
      <c r="M61" t="s">
        <v>297</v>
      </c>
      <c r="N61" t="s">
        <v>298</v>
      </c>
      <c r="O61" t="str">
        <f>_xlfn.XLOOKUP(tblFeatures[[#This Row],[id]], tblAgeGroups[feature_id], tblAgeGroups[Age_Group])</f>
        <v>Adults</v>
      </c>
      <c r="P61" t="str">
        <f>_xlfn.XLOOKUP(tblFeatures[[#This Row],[id]],tblProfessions[feature_id],tblProfessions[profession])</f>
        <v>Farmers, Researchers</v>
      </c>
      <c r="Q61" t="str">
        <f>_xlfn.XLOOKUP(tblFeatures[[#This Row],[id]],tblLocations[feature_id], tblLocations[location])</f>
        <v>Nationwide</v>
      </c>
    </row>
    <row r="62" spans="1:17">
      <c r="A62">
        <v>61</v>
      </c>
      <c r="B62" t="s">
        <v>12</v>
      </c>
      <c r="D62">
        <v>61</v>
      </c>
      <c r="E62" t="s">
        <v>13</v>
      </c>
      <c r="G62">
        <v>61</v>
      </c>
      <c r="H62" t="s">
        <v>299</v>
      </c>
      <c r="J62">
        <v>61</v>
      </c>
      <c r="K62" t="s">
        <v>300</v>
      </c>
      <c r="L62" t="s">
        <v>301</v>
      </c>
      <c r="M62" t="s">
        <v>302</v>
      </c>
      <c r="N62" t="s">
        <v>303</v>
      </c>
      <c r="O62" t="str">
        <f>_xlfn.XLOOKUP(tblFeatures[[#This Row],[id]], tblAgeGroups[feature_id], tblAgeGroups[Age_Group])</f>
        <v>All Age Groups</v>
      </c>
      <c r="P62" t="str">
        <f>_xlfn.XLOOKUP(tblFeatures[[#This Row],[id]],tblProfessions[feature_id],tblProfessions[profession])</f>
        <v>Researchers, Technologists</v>
      </c>
      <c r="Q62" t="str">
        <f>_xlfn.XLOOKUP(tblFeatures[[#This Row],[id]],tblLocations[feature_id], tblLocations[location])</f>
        <v>Nationwide</v>
      </c>
    </row>
    <row r="63" spans="1:17">
      <c r="A63">
        <v>62</v>
      </c>
      <c r="B63" t="s">
        <v>12</v>
      </c>
      <c r="D63">
        <v>62</v>
      </c>
      <c r="E63" t="s">
        <v>157</v>
      </c>
      <c r="G63">
        <v>62</v>
      </c>
      <c r="H63" t="s">
        <v>20</v>
      </c>
      <c r="J63">
        <v>62</v>
      </c>
      <c r="K63" t="s">
        <v>304</v>
      </c>
      <c r="L63" t="s">
        <v>305</v>
      </c>
      <c r="M63" t="s">
        <v>306</v>
      </c>
      <c r="N63" t="s">
        <v>307</v>
      </c>
      <c r="O63" t="str">
        <f>_xlfn.XLOOKUP(tblFeatures[[#This Row],[id]], tblAgeGroups[feature_id], tblAgeGroups[Age_Group])</f>
        <v>Children, Adults</v>
      </c>
      <c r="P63" t="str">
        <f>_xlfn.XLOOKUP(tblFeatures[[#This Row],[id]],tblProfessions[feature_id],tblProfessions[profession])</f>
        <v>Students, Teachers</v>
      </c>
      <c r="Q63" t="str">
        <f>_xlfn.XLOOKUP(tblFeatures[[#This Row],[id]],tblLocations[feature_id], tblLocations[location])</f>
        <v>Nationwide</v>
      </c>
    </row>
    <row r="64" spans="1:17">
      <c r="A64">
        <v>63</v>
      </c>
      <c r="B64" t="s">
        <v>12</v>
      </c>
      <c r="D64">
        <v>63</v>
      </c>
      <c r="E64" t="s">
        <v>30</v>
      </c>
      <c r="G64">
        <v>63</v>
      </c>
      <c r="H64" t="s">
        <v>308</v>
      </c>
      <c r="J64">
        <v>63</v>
      </c>
      <c r="K64" t="s">
        <v>309</v>
      </c>
      <c r="L64" t="s">
        <v>310</v>
      </c>
      <c r="M64" t="s">
        <v>311</v>
      </c>
      <c r="N64" t="s">
        <v>312</v>
      </c>
      <c r="O64" t="str">
        <f>_xlfn.XLOOKUP(tblFeatures[[#This Row],[id]], tblAgeGroups[feature_id], tblAgeGroups[Age_Group])</f>
        <v>Adults</v>
      </c>
      <c r="P64" t="str">
        <f>_xlfn.XLOOKUP(tblFeatures[[#This Row],[id]],tblProfessions[feature_id],tblProfessions[profession])</f>
        <v>Exporters</v>
      </c>
      <c r="Q64" t="str">
        <f>_xlfn.XLOOKUP(tblFeatures[[#This Row],[id]],tblLocations[feature_id], tblLocations[location])</f>
        <v>Nationwide</v>
      </c>
    </row>
    <row r="65" spans="1:17">
      <c r="A65">
        <v>64</v>
      </c>
      <c r="B65" t="s">
        <v>12</v>
      </c>
      <c r="D65">
        <v>64</v>
      </c>
      <c r="E65" t="s">
        <v>30</v>
      </c>
      <c r="G65">
        <v>64</v>
      </c>
      <c r="H65" t="s">
        <v>308</v>
      </c>
      <c r="J65">
        <v>64</v>
      </c>
      <c r="K65" t="s">
        <v>313</v>
      </c>
      <c r="L65" t="s">
        <v>314</v>
      </c>
      <c r="M65" t="s">
        <v>315</v>
      </c>
      <c r="N65" t="s">
        <v>316</v>
      </c>
      <c r="O65" t="str">
        <f>_xlfn.XLOOKUP(tblFeatures[[#This Row],[id]], tblAgeGroups[feature_id], tblAgeGroups[Age_Group])</f>
        <v>Adults</v>
      </c>
      <c r="P65" t="str">
        <f>_xlfn.XLOOKUP(tblFeatures[[#This Row],[id]],tblProfessions[feature_id],tblProfessions[profession])</f>
        <v>Exporters</v>
      </c>
      <c r="Q65" t="str">
        <f>_xlfn.XLOOKUP(tblFeatures[[#This Row],[id]],tblLocations[feature_id], tblLocations[location])</f>
        <v>Nationwide</v>
      </c>
    </row>
    <row r="66" spans="1:17">
      <c r="A66">
        <v>65</v>
      </c>
      <c r="B66" t="s">
        <v>12</v>
      </c>
      <c r="D66">
        <v>65</v>
      </c>
      <c r="E66" t="s">
        <v>30</v>
      </c>
      <c r="G66">
        <v>65</v>
      </c>
      <c r="H66" t="s">
        <v>308</v>
      </c>
      <c r="J66">
        <v>65</v>
      </c>
      <c r="K66" t="s">
        <v>317</v>
      </c>
      <c r="L66" t="s">
        <v>318</v>
      </c>
      <c r="M66" t="s">
        <v>319</v>
      </c>
      <c r="N66" t="s">
        <v>320</v>
      </c>
      <c r="O66" t="str">
        <f>_xlfn.XLOOKUP(tblFeatures[[#This Row],[id]], tblAgeGroups[feature_id], tblAgeGroups[Age_Group])</f>
        <v>Adults</v>
      </c>
      <c r="P66" t="str">
        <f>_xlfn.XLOOKUP(tblFeatures[[#This Row],[id]],tblProfessions[feature_id],tblProfessions[profession])</f>
        <v>Exporters</v>
      </c>
      <c r="Q66" t="str">
        <f>_xlfn.XLOOKUP(tblFeatures[[#This Row],[id]],tblLocations[feature_id], tblLocations[location])</f>
        <v>Nationwide</v>
      </c>
    </row>
    <row r="67" spans="1:17">
      <c r="A67">
        <v>66</v>
      </c>
      <c r="B67" t="s">
        <v>12</v>
      </c>
      <c r="D67">
        <v>66</v>
      </c>
      <c r="E67" t="s">
        <v>13</v>
      </c>
      <c r="G67">
        <v>66</v>
      </c>
      <c r="H67" t="s">
        <v>215</v>
      </c>
      <c r="J67">
        <v>66</v>
      </c>
      <c r="K67" t="s">
        <v>321</v>
      </c>
      <c r="L67" t="s">
        <v>322</v>
      </c>
      <c r="M67" t="s">
        <v>323</v>
      </c>
      <c r="N67" t="s">
        <v>324</v>
      </c>
      <c r="O67" t="str">
        <f>_xlfn.XLOOKUP(tblFeatures[[#This Row],[id]], tblAgeGroups[feature_id], tblAgeGroups[Age_Group])</f>
        <v>All Age Groups</v>
      </c>
      <c r="P67" t="str">
        <f>_xlfn.XLOOKUP(tblFeatures[[#This Row],[id]],tblProfessions[feature_id],tblProfessions[profession])</f>
        <v>General Public, Investors</v>
      </c>
      <c r="Q67" t="str">
        <f>_xlfn.XLOOKUP(tblFeatures[[#This Row],[id]],tblLocations[feature_id], tblLocations[location])</f>
        <v>Nationwide</v>
      </c>
    </row>
    <row r="68" spans="1:17">
      <c r="A68">
        <v>67</v>
      </c>
      <c r="B68" t="s">
        <v>12</v>
      </c>
      <c r="D68">
        <v>67</v>
      </c>
      <c r="E68" t="s">
        <v>30</v>
      </c>
      <c r="G68">
        <v>67</v>
      </c>
      <c r="H68" t="s">
        <v>325</v>
      </c>
      <c r="J68">
        <v>67</v>
      </c>
      <c r="K68" t="s">
        <v>326</v>
      </c>
      <c r="L68" t="s">
        <v>327</v>
      </c>
      <c r="M68" t="s">
        <v>328</v>
      </c>
      <c r="N68" t="s">
        <v>329</v>
      </c>
      <c r="O68" t="str">
        <f>_xlfn.XLOOKUP(tblFeatures[[#This Row],[id]], tblAgeGroups[feature_id], tblAgeGroups[Age_Group])</f>
        <v>Adults</v>
      </c>
      <c r="P68" t="str">
        <f>_xlfn.XLOOKUP(tblFeatures[[#This Row],[id]],tblProfessions[feature_id],tblProfessions[profession])</f>
        <v>Banks, Borrowers, Policy Makers</v>
      </c>
      <c r="Q68" t="str">
        <f>_xlfn.XLOOKUP(tblFeatures[[#This Row],[id]],tblLocations[feature_id], tblLocations[location])</f>
        <v>Nationwide</v>
      </c>
    </row>
    <row r="69" spans="1:17">
      <c r="A69">
        <v>68</v>
      </c>
      <c r="B69" t="s">
        <v>12</v>
      </c>
      <c r="D69">
        <v>68</v>
      </c>
      <c r="E69" t="s">
        <v>30</v>
      </c>
      <c r="G69">
        <v>68</v>
      </c>
      <c r="H69" t="s">
        <v>330</v>
      </c>
      <c r="J69">
        <v>68</v>
      </c>
      <c r="K69" t="s">
        <v>331</v>
      </c>
      <c r="L69" t="s">
        <v>332</v>
      </c>
      <c r="M69" t="s">
        <v>333</v>
      </c>
      <c r="N69" t="s">
        <v>334</v>
      </c>
      <c r="O69" t="str">
        <f>_xlfn.XLOOKUP(tblFeatures[[#This Row],[id]], tblAgeGroups[feature_id], tblAgeGroups[Age_Group])</f>
        <v>Adults</v>
      </c>
      <c r="P69" t="str">
        <f>_xlfn.XLOOKUP(tblFeatures[[#This Row],[id]],tblProfessions[feature_id],tblProfessions[profession])</f>
        <v>Low-Income Individuals, Policy Makers, Rural Population</v>
      </c>
      <c r="Q69" t="str">
        <f>_xlfn.XLOOKUP(tblFeatures[[#This Row],[id]],tblLocations[feature_id], tblLocations[location])</f>
        <v>Nationwide</v>
      </c>
    </row>
    <row r="70" spans="1:17">
      <c r="A70">
        <v>69</v>
      </c>
      <c r="B70" t="s">
        <v>12</v>
      </c>
      <c r="D70">
        <v>69</v>
      </c>
      <c r="E70" t="s">
        <v>335</v>
      </c>
      <c r="G70">
        <v>69</v>
      </c>
      <c r="H70" t="s">
        <v>336</v>
      </c>
      <c r="J70">
        <v>69</v>
      </c>
      <c r="K70" t="s">
        <v>337</v>
      </c>
      <c r="L70" t="s">
        <v>338</v>
      </c>
      <c r="M70" t="s">
        <v>339</v>
      </c>
      <c r="N70" t="s">
        <v>340</v>
      </c>
      <c r="O70" t="str">
        <f>_xlfn.XLOOKUP(tblFeatures[[#This Row],[id]], tblAgeGroups[feature_id], tblAgeGroups[Age_Group])</f>
        <v>Adults, Senior Citizens</v>
      </c>
      <c r="P70" t="str">
        <f>_xlfn.XLOOKUP(tblFeatures[[#This Row],[id]],tblProfessions[feature_id],tblProfessions[profession])</f>
        <v>Policy Makers, Retirees, Working Population</v>
      </c>
      <c r="Q70" t="str">
        <f>_xlfn.XLOOKUP(tblFeatures[[#This Row],[id]],tblLocations[feature_id], tblLocations[location])</f>
        <v>Nationwide</v>
      </c>
    </row>
    <row r="71" spans="1:17">
      <c r="A71">
        <v>70</v>
      </c>
      <c r="B71" t="s">
        <v>12</v>
      </c>
      <c r="D71">
        <v>70</v>
      </c>
      <c r="E71" t="s">
        <v>30</v>
      </c>
      <c r="G71">
        <v>70</v>
      </c>
      <c r="H71" t="s">
        <v>341</v>
      </c>
      <c r="J71">
        <v>70</v>
      </c>
      <c r="K71" t="s">
        <v>342</v>
      </c>
      <c r="L71" t="s">
        <v>343</v>
      </c>
      <c r="M71" t="s">
        <v>344</v>
      </c>
      <c r="N71" t="s">
        <v>345</v>
      </c>
      <c r="O71" t="str">
        <f>_xlfn.XLOOKUP(tblFeatures[[#This Row],[id]], tblAgeGroups[feature_id], tblAgeGroups[Age_Group])</f>
        <v>Adults</v>
      </c>
      <c r="P71" t="str">
        <f>_xlfn.XLOOKUP(tblFeatures[[#This Row],[id]],tblProfessions[feature_id],tblProfessions[profession])</f>
        <v>Businesses, Investors, Policy Makers</v>
      </c>
      <c r="Q71" t="str">
        <f>_xlfn.XLOOKUP(tblFeatures[[#This Row],[id]],tblLocations[feature_id], tblLocations[location])</f>
        <v>Nationwide</v>
      </c>
    </row>
    <row r="72" spans="1:17">
      <c r="A72">
        <v>71</v>
      </c>
      <c r="B72" t="s">
        <v>12</v>
      </c>
      <c r="D72">
        <v>71</v>
      </c>
      <c r="E72" t="s">
        <v>30</v>
      </c>
      <c r="G72">
        <v>71</v>
      </c>
      <c r="H72" t="s">
        <v>245</v>
      </c>
      <c r="J72">
        <v>71</v>
      </c>
      <c r="K72" t="s">
        <v>346</v>
      </c>
      <c r="L72" t="s">
        <v>347</v>
      </c>
      <c r="M72" t="s">
        <v>348</v>
      </c>
      <c r="N72" t="s">
        <v>349</v>
      </c>
      <c r="O72" t="str">
        <f>_xlfn.XLOOKUP(tblFeatures[[#This Row],[id]], tblAgeGroups[feature_id], tblAgeGroups[Age_Group])</f>
        <v>Adults</v>
      </c>
      <c r="P72" t="str">
        <f>_xlfn.XLOOKUP(tblFeatures[[#This Row],[id]],tblProfessions[feature_id],tblProfessions[profession])</f>
        <v>Investors</v>
      </c>
      <c r="Q72" t="str">
        <f>_xlfn.XLOOKUP(tblFeatures[[#This Row],[id]],tblLocations[feature_id], tblLocations[location])</f>
        <v>Nationwide</v>
      </c>
    </row>
    <row r="73" spans="1:17">
      <c r="A73">
        <v>72</v>
      </c>
      <c r="B73" t="s">
        <v>12</v>
      </c>
      <c r="D73">
        <v>72</v>
      </c>
      <c r="E73" t="s">
        <v>30</v>
      </c>
      <c r="G73">
        <v>72</v>
      </c>
      <c r="H73" t="s">
        <v>350</v>
      </c>
      <c r="J73">
        <v>72</v>
      </c>
      <c r="K73" t="s">
        <v>351</v>
      </c>
      <c r="L73" t="s">
        <v>352</v>
      </c>
      <c r="M73" t="s">
        <v>353</v>
      </c>
      <c r="N73" t="s">
        <v>354</v>
      </c>
      <c r="O73" t="str">
        <f>_xlfn.XLOOKUP(tblFeatures[[#This Row],[id]], tblAgeGroups[feature_id], tblAgeGroups[Age_Group])</f>
        <v>Adults</v>
      </c>
      <c r="P73" t="str">
        <f>_xlfn.XLOOKUP(tblFeatures[[#This Row],[id]],tblProfessions[feature_id],tblProfessions[profession])</f>
        <v>Businesses, General Public</v>
      </c>
      <c r="Q73" t="str">
        <f>_xlfn.XLOOKUP(tblFeatures[[#This Row],[id]],tblLocations[feature_id], tblLocations[location])</f>
        <v>Nationwide</v>
      </c>
    </row>
  </sheetData>
  <sortState xmlns:xlrd2="http://schemas.microsoft.com/office/spreadsheetml/2017/richdata2" ref="A2:B73">
    <sortCondition ref="A2:A73"/>
  </sortState>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B517-A4D4-4539-B712-AE60206454B1}">
  <dimension ref="A1:H73"/>
  <sheetViews>
    <sheetView workbookViewId="0">
      <selection activeCell="C15" sqref="C15"/>
    </sheetView>
  </sheetViews>
  <sheetFormatPr defaultRowHeight="15"/>
  <cols>
    <col min="1" max="1" width="7.5703125" customWidth="1"/>
    <col min="2" max="2" width="55.28515625" customWidth="1"/>
    <col min="3" max="3" width="52.5703125" customWidth="1"/>
    <col min="4" max="4" width="22.140625" bestFit="1" customWidth="1"/>
    <col min="5" max="5" width="62.5703125" customWidth="1"/>
    <col min="6" max="6" width="12.5703125" bestFit="1" customWidth="1"/>
    <col min="7" max="7" width="54.42578125" bestFit="1" customWidth="1"/>
    <col min="8" max="8" width="17.140625" customWidth="1"/>
  </cols>
  <sheetData>
    <row r="1" spans="1:8">
      <c r="A1" t="s">
        <v>4</v>
      </c>
      <c r="B1" t="s">
        <v>5</v>
      </c>
      <c r="C1" t="s">
        <v>6</v>
      </c>
      <c r="D1" t="s">
        <v>7</v>
      </c>
      <c r="E1" t="s">
        <v>8</v>
      </c>
      <c r="F1" t="s">
        <v>9</v>
      </c>
      <c r="G1" t="s">
        <v>3</v>
      </c>
      <c r="H1" t="s">
        <v>1</v>
      </c>
    </row>
    <row r="2" spans="1:8" ht="60.75">
      <c r="A2">
        <v>1</v>
      </c>
      <c r="B2" t="s">
        <v>15</v>
      </c>
      <c r="C2" s="1" t="s">
        <v>16</v>
      </c>
      <c r="D2" t="s">
        <v>17</v>
      </c>
      <c r="E2" t="s">
        <v>18</v>
      </c>
      <c r="F2" t="str">
        <f>_xlfn.XLOOKUP(Budget_Features[[#This Row],[id]], tblAgeGroups[feature_id], tblAgeGroups[Age_Group])</f>
        <v>All Age Groups</v>
      </c>
      <c r="G2" t="str">
        <f>_xlfn.XLOOKUP(Budget_Features[[#This Row],[id]],tblProfessions[feature_id],tblProfessions[profession])</f>
        <v>Daily Wage Workers, Low-Income Individuals</v>
      </c>
      <c r="H2" t="str">
        <f>_xlfn.XLOOKUP(Budget_Features[[#This Row],[id]],tblLocations[feature_id], tblLocations[location])</f>
        <v>Nationwide</v>
      </c>
    </row>
    <row r="3" spans="1:8">
      <c r="A3">
        <v>2</v>
      </c>
      <c r="B3" t="s">
        <v>21</v>
      </c>
      <c r="C3" t="s">
        <v>22</v>
      </c>
      <c r="D3" t="s">
        <v>23</v>
      </c>
      <c r="E3" t="s">
        <v>24</v>
      </c>
      <c r="F3" t="str">
        <f>_xlfn.XLOOKUP(Budget_Features[[#This Row],[id]], tblAgeGroups[feature_id], tblAgeGroups[Age_Group])</f>
        <v>Children</v>
      </c>
      <c r="G3" t="str">
        <f>_xlfn.XLOOKUP(Budget_Features[[#This Row],[id]],tblProfessions[feature_id],tblProfessions[profession])</f>
        <v>Students, Teachers</v>
      </c>
      <c r="H3" t="str">
        <f>_xlfn.XLOOKUP(Budget_Features[[#This Row],[id]],tblLocations[feature_id], tblLocations[location])</f>
        <v>Nationwide</v>
      </c>
    </row>
    <row r="4" spans="1:8">
      <c r="A4">
        <v>3</v>
      </c>
      <c r="B4" t="s">
        <v>26</v>
      </c>
      <c r="C4" t="s">
        <v>27</v>
      </c>
      <c r="D4" t="s">
        <v>28</v>
      </c>
      <c r="E4" t="s">
        <v>29</v>
      </c>
      <c r="F4" t="str">
        <f>_xlfn.XLOOKUP(Budget_Features[[#This Row],[id]], tblAgeGroups[feature_id], tblAgeGroups[Age_Group])</f>
        <v>All Age Groups</v>
      </c>
      <c r="G4" t="str">
        <f>_xlfn.XLOOKUP(Budget_Features[[#This Row],[id]],tblProfessions[feature_id],tblProfessions[profession])</f>
        <v>General Public</v>
      </c>
      <c r="H4" t="str">
        <f>_xlfn.XLOOKUP(Budget_Features[[#This Row],[id]],tblLocations[feature_id], tblLocations[location])</f>
        <v>Nationwide</v>
      </c>
    </row>
    <row r="5" spans="1:8">
      <c r="A5">
        <v>4</v>
      </c>
      <c r="B5" t="s">
        <v>31</v>
      </c>
      <c r="C5" t="s">
        <v>32</v>
      </c>
      <c r="D5" t="s">
        <v>33</v>
      </c>
      <c r="E5" t="s">
        <v>34</v>
      </c>
      <c r="F5" t="str">
        <f>_xlfn.XLOOKUP(Budget_Features[[#This Row],[id]], tblAgeGroups[feature_id], tblAgeGroups[Age_Group])</f>
        <v>Adults</v>
      </c>
      <c r="G5" t="str">
        <f>_xlfn.XLOOKUP(Budget_Features[[#This Row],[id]],tblProfessions[feature_id],tblProfessions[profession])</f>
        <v>General Public</v>
      </c>
      <c r="H5" t="str">
        <f>_xlfn.XLOOKUP(Budget_Features[[#This Row],[id]],tblLocations[feature_id], tblLocations[location])</f>
        <v>Nationwide</v>
      </c>
    </row>
    <row r="6" spans="1:8">
      <c r="A6">
        <v>5</v>
      </c>
      <c r="B6" t="s">
        <v>36</v>
      </c>
      <c r="C6" t="s">
        <v>37</v>
      </c>
      <c r="D6" t="s">
        <v>38</v>
      </c>
      <c r="E6" t="s">
        <v>39</v>
      </c>
      <c r="F6" t="str">
        <f>_xlfn.XLOOKUP(Budget_Features[[#This Row],[id]], tblAgeGroups[feature_id], tblAgeGroups[Age_Group])</f>
        <v>Adults</v>
      </c>
      <c r="G6" t="str">
        <f>_xlfn.XLOOKUP(Budget_Features[[#This Row],[id]],tblProfessions[feature_id],tblProfessions[profession])</f>
        <v>Female Workforce</v>
      </c>
      <c r="H6" t="str">
        <f>_xlfn.XLOOKUP(Budget_Features[[#This Row],[id]],tblLocations[feature_id], tblLocations[location])</f>
        <v>Nationwide</v>
      </c>
    </row>
    <row r="7" spans="1:8">
      <c r="A7">
        <v>6</v>
      </c>
      <c r="B7" t="s">
        <v>41</v>
      </c>
      <c r="C7" t="s">
        <v>42</v>
      </c>
      <c r="D7" t="s">
        <v>43</v>
      </c>
      <c r="E7" t="s">
        <v>44</v>
      </c>
      <c r="F7" t="str">
        <f>_xlfn.XLOOKUP(Budget_Features[[#This Row],[id]], tblAgeGroups[feature_id], tblAgeGroups[Age_Group])</f>
        <v>Adults</v>
      </c>
      <c r="G7" t="str">
        <f>_xlfn.XLOOKUP(Budget_Features[[#This Row],[id]],tblProfessions[feature_id],tblProfessions[profession])</f>
        <v>Agribusiness Entrepreneurs, Exporters, Farmers</v>
      </c>
      <c r="H7" t="str">
        <f>_xlfn.XLOOKUP(Budget_Features[[#This Row],[id]],tblLocations[feature_id], tblLocations[location])</f>
        <v>Nationwide</v>
      </c>
    </row>
    <row r="8" spans="1:8">
      <c r="A8">
        <v>7</v>
      </c>
      <c r="B8" t="s">
        <v>46</v>
      </c>
      <c r="C8" t="s">
        <v>47</v>
      </c>
      <c r="D8" t="s">
        <v>48</v>
      </c>
      <c r="E8" t="s">
        <v>49</v>
      </c>
      <c r="F8" t="str">
        <f>_xlfn.XLOOKUP(Budget_Features[[#This Row],[id]], tblAgeGroups[feature_id], tblAgeGroups[Age_Group])</f>
        <v>All Age Groups</v>
      </c>
      <c r="G8" t="str">
        <f>_xlfn.XLOOKUP(Budget_Features[[#This Row],[id]],tblProfessions[feature_id],tblProfessions[profession])</f>
        <v>Economists, General Public</v>
      </c>
      <c r="H8" t="str">
        <f>_xlfn.XLOOKUP(Budget_Features[[#This Row],[id]],tblLocations[feature_id], tblLocations[location])</f>
        <v>Nationwide</v>
      </c>
    </row>
    <row r="9" spans="1:8">
      <c r="A9">
        <v>8</v>
      </c>
      <c r="B9" t="s">
        <v>50</v>
      </c>
      <c r="C9" t="s">
        <v>51</v>
      </c>
      <c r="D9" t="s">
        <v>52</v>
      </c>
      <c r="E9" t="s">
        <v>53</v>
      </c>
      <c r="F9" t="str">
        <f>_xlfn.XLOOKUP(Budget_Features[[#This Row],[id]], tblAgeGroups[feature_id], tblAgeGroups[Age_Group])</f>
        <v>All Age Groups</v>
      </c>
      <c r="G9" t="str">
        <f>_xlfn.XLOOKUP(Budget_Features[[#This Row],[id]],tblProfessions[feature_id],tblProfessions[profession])</f>
        <v>Economists, General Public</v>
      </c>
      <c r="H9" t="str">
        <f>_xlfn.XLOOKUP(Budget_Features[[#This Row],[id]],tblLocations[feature_id], tblLocations[location])</f>
        <v>Nationwide</v>
      </c>
    </row>
    <row r="10" spans="1:8">
      <c r="A10">
        <v>9</v>
      </c>
      <c r="B10" t="s">
        <v>54</v>
      </c>
      <c r="C10" t="s">
        <v>55</v>
      </c>
      <c r="D10" t="s">
        <v>56</v>
      </c>
      <c r="E10" t="s">
        <v>57</v>
      </c>
      <c r="F10" t="str">
        <f>_xlfn.XLOOKUP(Budget_Features[[#This Row],[id]], tblAgeGroups[feature_id], tblAgeGroups[Age_Group])</f>
        <v>All Age Groups</v>
      </c>
      <c r="G10" t="str">
        <f>_xlfn.XLOOKUP(Budget_Features[[#This Row],[id]],tblProfessions[feature_id],tblProfessions[profession])</f>
        <v>General Public</v>
      </c>
      <c r="H10" t="str">
        <f>_xlfn.XLOOKUP(Budget_Features[[#This Row],[id]],tblLocations[feature_id], tblLocations[location])</f>
        <v>Nationwide</v>
      </c>
    </row>
    <row r="11" spans="1:8">
      <c r="A11">
        <v>10</v>
      </c>
      <c r="B11" t="s">
        <v>58</v>
      </c>
      <c r="C11" t="s">
        <v>59</v>
      </c>
      <c r="D11" t="s">
        <v>60</v>
      </c>
      <c r="E11" t="s">
        <v>61</v>
      </c>
      <c r="F11" t="str">
        <f>_xlfn.XLOOKUP(Budget_Features[[#This Row],[id]], tblAgeGroups[feature_id], tblAgeGroups[Age_Group])</f>
        <v>All Age Groups</v>
      </c>
      <c r="G11" t="str">
        <f>_xlfn.XLOOKUP(Budget_Features[[#This Row],[id]],tblProfessions[feature_id],tblProfessions[profession])</f>
        <v>General Public</v>
      </c>
      <c r="H11" t="str">
        <f>_xlfn.XLOOKUP(Budget_Features[[#This Row],[id]],tblLocations[feature_id], tblLocations[location])</f>
        <v>Nationwide</v>
      </c>
    </row>
    <row r="12" spans="1:8">
      <c r="A12">
        <v>11</v>
      </c>
      <c r="B12" t="s">
        <v>62</v>
      </c>
      <c r="C12" t="s">
        <v>63</v>
      </c>
      <c r="D12" t="s">
        <v>64</v>
      </c>
      <c r="E12" t="s">
        <v>65</v>
      </c>
      <c r="F12" t="str">
        <f>_xlfn.XLOOKUP(Budget_Features[[#This Row],[id]], tblAgeGroups[feature_id], tblAgeGroups[Age_Group])</f>
        <v>All Age Groups</v>
      </c>
      <c r="G12" t="str">
        <f>_xlfn.XLOOKUP(Budget_Features[[#This Row],[id]],tblProfessions[feature_id],tblProfessions[profession])</f>
        <v>General Public</v>
      </c>
      <c r="H12" t="str">
        <f>_xlfn.XLOOKUP(Budget_Features[[#This Row],[id]],tblLocations[feature_id], tblLocations[location])</f>
        <v>Nationwide</v>
      </c>
    </row>
    <row r="13" spans="1:8">
      <c r="A13">
        <v>12</v>
      </c>
      <c r="B13" t="s">
        <v>67</v>
      </c>
      <c r="C13" t="s">
        <v>68</v>
      </c>
      <c r="D13" t="s">
        <v>69</v>
      </c>
      <c r="E13" t="s">
        <v>70</v>
      </c>
      <c r="F13" t="str">
        <f>_xlfn.XLOOKUP(Budget_Features[[#This Row],[id]], tblAgeGroups[feature_id], tblAgeGroups[Age_Group])</f>
        <v>All Age Groups</v>
      </c>
      <c r="G13" t="str">
        <f>_xlfn.XLOOKUP(Budget_Features[[#This Row],[id]],tblProfessions[feature_id],tblProfessions[profession])</f>
        <v>Farmers, Rural Communities</v>
      </c>
      <c r="H13" t="str">
        <f>_xlfn.XLOOKUP(Budget_Features[[#This Row],[id]],tblLocations[feature_id], tblLocations[location])</f>
        <v>Nationwide</v>
      </c>
    </row>
    <row r="14" spans="1:8">
      <c r="A14">
        <v>13</v>
      </c>
      <c r="B14" t="s">
        <v>71</v>
      </c>
      <c r="C14" t="s">
        <v>72</v>
      </c>
      <c r="D14" t="s">
        <v>73</v>
      </c>
      <c r="E14" t="s">
        <v>74</v>
      </c>
      <c r="F14" t="str">
        <f>_xlfn.XLOOKUP(Budget_Features[[#This Row],[id]], tblAgeGroups[feature_id], tblAgeGroups[Age_Group])</f>
        <v>All Age Groups</v>
      </c>
      <c r="G14" t="str">
        <f>_xlfn.XLOOKUP(Budget_Features[[#This Row],[id]],tblProfessions[feature_id],tblProfessions[profession])</f>
        <v>Farmers, Rural Communities</v>
      </c>
      <c r="H14" t="str">
        <f>_xlfn.XLOOKUP(Budget_Features[[#This Row],[id]],tblLocations[feature_id], tblLocations[location])</f>
        <v>Nationwide</v>
      </c>
    </row>
    <row r="15" spans="1:8">
      <c r="A15">
        <v>14</v>
      </c>
      <c r="B15" t="s">
        <v>76</v>
      </c>
      <c r="C15" t="s">
        <v>77</v>
      </c>
      <c r="D15" t="s">
        <v>78</v>
      </c>
      <c r="E15" t="s">
        <v>79</v>
      </c>
      <c r="F15" t="str">
        <f>_xlfn.XLOOKUP(Budget_Features[[#This Row],[id]], tblAgeGroups[feature_id], tblAgeGroups[Age_Group])</f>
        <v>Adults</v>
      </c>
      <c r="G15" t="str">
        <f>_xlfn.XLOOKUP(Budget_Features[[#This Row],[id]],tblProfessions[feature_id],tblProfessions[profession])</f>
        <v>Farmers, General Public</v>
      </c>
      <c r="H15" t="str">
        <f>_xlfn.XLOOKUP(Budget_Features[[#This Row],[id]],tblLocations[feature_id], tblLocations[location])</f>
        <v>Nationwide</v>
      </c>
    </row>
    <row r="16" spans="1:8">
      <c r="A16">
        <v>15</v>
      </c>
      <c r="B16" t="s">
        <v>81</v>
      </c>
      <c r="C16" t="s">
        <v>82</v>
      </c>
      <c r="D16" t="s">
        <v>83</v>
      </c>
      <c r="E16" t="s">
        <v>84</v>
      </c>
      <c r="F16" t="str">
        <f>_xlfn.XLOOKUP(Budget_Features[[#This Row],[id]], tblAgeGroups[feature_id], tblAgeGroups[Age_Group])</f>
        <v>Adults</v>
      </c>
      <c r="G16" t="str">
        <f>_xlfn.XLOOKUP(Budget_Features[[#This Row],[id]],tblProfessions[feature_id],tblProfessions[profession])</f>
        <v>Agribusiness Entrepreneurs, Farmers</v>
      </c>
      <c r="H16" t="str">
        <f>_xlfn.XLOOKUP(Budget_Features[[#This Row],[id]],tblLocations[feature_id], tblLocations[location])</f>
        <v>Nationwide</v>
      </c>
    </row>
    <row r="17" spans="1:8">
      <c r="A17">
        <v>16</v>
      </c>
      <c r="B17" t="s">
        <v>86</v>
      </c>
      <c r="C17" t="s">
        <v>87</v>
      </c>
      <c r="D17" t="s">
        <v>88</v>
      </c>
      <c r="E17" t="s">
        <v>89</v>
      </c>
      <c r="F17" t="str">
        <f>_xlfn.XLOOKUP(Budget_Features[[#This Row],[id]], tblAgeGroups[feature_id], tblAgeGroups[Age_Group])</f>
        <v>Adults</v>
      </c>
      <c r="G17" t="str">
        <f>_xlfn.XLOOKUP(Budget_Features[[#This Row],[id]],tblProfessions[feature_id],tblProfessions[profession])</f>
        <v>Agribusiness Entrepreneurs, Farmers</v>
      </c>
      <c r="H17" t="str">
        <f>_xlfn.XLOOKUP(Budget_Features[[#This Row],[id]],tblLocations[feature_id], tblLocations[location])</f>
        <v>Bihar</v>
      </c>
    </row>
    <row r="18" spans="1:8">
      <c r="A18">
        <v>17</v>
      </c>
      <c r="B18" t="s">
        <v>91</v>
      </c>
      <c r="C18" t="s">
        <v>92</v>
      </c>
      <c r="D18" t="s">
        <v>93</v>
      </c>
      <c r="E18" t="s">
        <v>94</v>
      </c>
      <c r="F18" t="str">
        <f>_xlfn.XLOOKUP(Budget_Features[[#This Row],[id]], tblAgeGroups[feature_id], tblAgeGroups[Age_Group])</f>
        <v>Adults</v>
      </c>
      <c r="G18" t="str">
        <f>_xlfn.XLOOKUP(Budget_Features[[#This Row],[id]],tblProfessions[feature_id],tblProfessions[profession])</f>
        <v>Agricultural Scientists, Farmers</v>
      </c>
      <c r="H18" t="str">
        <f>_xlfn.XLOOKUP(Budget_Features[[#This Row],[id]],tblLocations[feature_id], tblLocations[location])</f>
        <v>Nationwide</v>
      </c>
    </row>
    <row r="19" spans="1:8">
      <c r="A19">
        <v>18</v>
      </c>
      <c r="B19" t="s">
        <v>96</v>
      </c>
      <c r="C19" t="s">
        <v>97</v>
      </c>
      <c r="D19" t="s">
        <v>98</v>
      </c>
      <c r="E19" t="s">
        <v>99</v>
      </c>
      <c r="F19" t="str">
        <f>_xlfn.XLOOKUP(Budget_Features[[#This Row],[id]], tblAgeGroups[feature_id], tblAgeGroups[Age_Group])</f>
        <v>Adults</v>
      </c>
      <c r="G19" t="str">
        <f>_xlfn.XLOOKUP(Budget_Features[[#This Row],[id]],tblProfessions[feature_id],tblProfessions[profession])</f>
        <v>Fishermen</v>
      </c>
      <c r="H19" t="str">
        <f>_xlfn.XLOOKUP(Budget_Features[[#This Row],[id]],tblLocations[feature_id], tblLocations[location])</f>
        <v>Nationwide</v>
      </c>
    </row>
    <row r="20" spans="1:8">
      <c r="A20">
        <v>19</v>
      </c>
      <c r="B20" t="s">
        <v>101</v>
      </c>
      <c r="C20" t="s">
        <v>102</v>
      </c>
      <c r="D20" t="s">
        <v>103</v>
      </c>
      <c r="E20" t="s">
        <v>104</v>
      </c>
      <c r="F20" t="str">
        <f>_xlfn.XLOOKUP(Budget_Features[[#This Row],[id]], tblAgeGroups[feature_id], tblAgeGroups[Age_Group])</f>
        <v>Adults</v>
      </c>
      <c r="G20" t="str">
        <f>_xlfn.XLOOKUP(Budget_Features[[#This Row],[id]],tblProfessions[feature_id],tblProfessions[profession])</f>
        <v>Exporters, Farmers, Textile Manufacturers</v>
      </c>
      <c r="H20" t="str">
        <f>_xlfn.XLOOKUP(Budget_Features[[#This Row],[id]],tblLocations[feature_id], tblLocations[location])</f>
        <v>Nationwide</v>
      </c>
    </row>
    <row r="21" spans="1:8">
      <c r="A21">
        <v>20</v>
      </c>
      <c r="B21" t="s">
        <v>106</v>
      </c>
      <c r="C21" t="s">
        <v>107</v>
      </c>
      <c r="D21" t="s">
        <v>108</v>
      </c>
      <c r="E21" t="s">
        <v>109</v>
      </c>
      <c r="F21" t="str">
        <f>_xlfn.XLOOKUP(Budget_Features[[#This Row],[id]], tblAgeGroups[feature_id], tblAgeGroups[Age_Group])</f>
        <v>Adults</v>
      </c>
      <c r="G21" t="str">
        <f>_xlfn.XLOOKUP(Budget_Features[[#This Row],[id]],tblProfessions[feature_id],tblProfessions[profession])</f>
        <v>Dairy Farmers, Farmers, Fishermen</v>
      </c>
      <c r="H21" t="str">
        <f>_xlfn.XLOOKUP(Budget_Features[[#This Row],[id]],tblLocations[feature_id], tblLocations[location])</f>
        <v>Nationwide</v>
      </c>
    </row>
    <row r="22" spans="1:8">
      <c r="A22">
        <v>21</v>
      </c>
      <c r="B22" t="s">
        <v>112</v>
      </c>
      <c r="C22" t="s">
        <v>113</v>
      </c>
      <c r="D22" t="s">
        <v>114</v>
      </c>
      <c r="E22" t="s">
        <v>115</v>
      </c>
      <c r="F22" t="str">
        <f>_xlfn.XLOOKUP(Budget_Features[[#This Row],[id]], tblAgeGroups[feature_id], tblAgeGroups[Age_Group])</f>
        <v>Adults</v>
      </c>
      <c r="G22" t="str">
        <f>_xlfn.XLOOKUP(Budget_Features[[#This Row],[id]],tblProfessions[feature_id],tblProfessions[profession])</f>
        <v>Agribusiness Entrepreneurs, Farmers, Industrial Workers</v>
      </c>
      <c r="H22" t="str">
        <f>_xlfn.XLOOKUP(Budget_Features[[#This Row],[id]],tblLocations[feature_id], tblLocations[location])</f>
        <v>Assam</v>
      </c>
    </row>
    <row r="23" spans="1:8">
      <c r="A23">
        <v>22</v>
      </c>
      <c r="B23" t="s">
        <v>117</v>
      </c>
      <c r="C23" t="s">
        <v>118</v>
      </c>
      <c r="D23" t="s">
        <v>119</v>
      </c>
      <c r="E23" t="s">
        <v>120</v>
      </c>
      <c r="F23" t="str">
        <f>_xlfn.XLOOKUP(Budget_Features[[#This Row],[id]], tblAgeGroups[feature_id], tblAgeGroups[Age_Group])</f>
        <v>Adults</v>
      </c>
      <c r="G23" t="str">
        <f>_xlfn.XLOOKUP(Budget_Features[[#This Row],[id]],tblProfessions[feature_id],tblProfessions[profession])</f>
        <v>Entrepreneurs, Small Business Owners</v>
      </c>
      <c r="H23" t="str">
        <f>_xlfn.XLOOKUP(Budget_Features[[#This Row],[id]],tblLocations[feature_id], tblLocations[location])</f>
        <v>Nationwide</v>
      </c>
    </row>
    <row r="24" spans="1:8">
      <c r="A24">
        <v>23</v>
      </c>
      <c r="B24" t="s">
        <v>121</v>
      </c>
      <c r="C24" t="s">
        <v>122</v>
      </c>
      <c r="D24" t="s">
        <v>123</v>
      </c>
      <c r="E24" t="s">
        <v>124</v>
      </c>
      <c r="F24" t="str">
        <f>_xlfn.XLOOKUP(Budget_Features[[#This Row],[id]], tblAgeGroups[feature_id], tblAgeGroups[Age_Group])</f>
        <v>Adults</v>
      </c>
      <c r="G24" t="str">
        <f>_xlfn.XLOOKUP(Budget_Features[[#This Row],[id]],tblProfessions[feature_id],tblProfessions[profession])</f>
        <v>Entrepreneurs, Small Business Owners</v>
      </c>
      <c r="H24" t="str">
        <f>_xlfn.XLOOKUP(Budget_Features[[#This Row],[id]],tblLocations[feature_id], tblLocations[location])</f>
        <v>Nationwide</v>
      </c>
    </row>
    <row r="25" spans="1:8">
      <c r="A25">
        <v>24</v>
      </c>
      <c r="B25" t="s">
        <v>125</v>
      </c>
      <c r="C25" t="s">
        <v>126</v>
      </c>
      <c r="D25" t="s">
        <v>127</v>
      </c>
      <c r="E25" t="s">
        <v>128</v>
      </c>
      <c r="F25" t="str">
        <f>_xlfn.XLOOKUP(Budget_Features[[#This Row],[id]], tblAgeGroups[feature_id], tblAgeGroups[Age_Group])</f>
        <v>Adults</v>
      </c>
      <c r="G25" t="str">
        <f>_xlfn.XLOOKUP(Budget_Features[[#This Row],[id]],tblProfessions[feature_id],tblProfessions[profession])</f>
        <v>Entrepreneurs, Small Business Owners</v>
      </c>
      <c r="H25" t="str">
        <f>_xlfn.XLOOKUP(Budget_Features[[#This Row],[id]],tblLocations[feature_id], tblLocations[location])</f>
        <v>Nationwide</v>
      </c>
    </row>
    <row r="26" spans="1:8" ht="76.5">
      <c r="A26">
        <v>25</v>
      </c>
      <c r="B26" t="s">
        <v>129</v>
      </c>
      <c r="C26" t="s">
        <v>130</v>
      </c>
      <c r="D26" t="s">
        <v>131</v>
      </c>
      <c r="E26" s="1" t="s">
        <v>132</v>
      </c>
      <c r="F26" t="str">
        <f>_xlfn.XLOOKUP(Budget_Features[[#This Row],[id]], tblAgeGroups[feature_id], tblAgeGroups[Age_Group])</f>
        <v>Adults</v>
      </c>
      <c r="G26" t="str">
        <f>_xlfn.XLOOKUP(Budget_Features[[#This Row],[id]],tblProfessions[feature_id],tblProfessions[profession])</f>
        <v>Entrepreneurs, Small Business Owners</v>
      </c>
      <c r="H26" t="str">
        <f>_xlfn.XLOOKUP(Budget_Features[[#This Row],[id]],tblLocations[feature_id], tblLocations[location])</f>
        <v>Nationwide</v>
      </c>
    </row>
    <row r="27" spans="1:8">
      <c r="A27">
        <v>26</v>
      </c>
      <c r="B27" t="s">
        <v>134</v>
      </c>
      <c r="C27" t="s">
        <v>135</v>
      </c>
      <c r="D27" t="s">
        <v>136</v>
      </c>
      <c r="E27" t="s">
        <v>137</v>
      </c>
      <c r="F27" t="str">
        <f>_xlfn.XLOOKUP(Budget_Features[[#This Row],[id]], tblAgeGroups[feature_id], tblAgeGroups[Age_Group])</f>
        <v>Adults</v>
      </c>
      <c r="G27" t="str">
        <f>_xlfn.XLOOKUP(Budget_Features[[#This Row],[id]],tblProfessions[feature_id],tblProfessions[profession])</f>
        <v>Exporters, Manufacturers</v>
      </c>
      <c r="H27" t="str">
        <f>_xlfn.XLOOKUP(Budget_Features[[#This Row],[id]],tblLocations[feature_id], tblLocations[location])</f>
        <v>Nationwide</v>
      </c>
    </row>
    <row r="28" spans="1:8">
      <c r="A28">
        <v>27</v>
      </c>
      <c r="B28" t="s">
        <v>138</v>
      </c>
      <c r="C28" t="s">
        <v>139</v>
      </c>
      <c r="D28" t="s">
        <v>140</v>
      </c>
      <c r="E28" t="s">
        <v>141</v>
      </c>
      <c r="F28" t="str">
        <f>_xlfn.XLOOKUP(Budget_Features[[#This Row],[id]], tblAgeGroups[feature_id], tblAgeGroups[Age_Group])</f>
        <v>Adults</v>
      </c>
      <c r="G28" t="str">
        <f>_xlfn.XLOOKUP(Budget_Features[[#This Row],[id]],tblProfessions[feature_id],tblProfessions[profession])</f>
        <v>Exporters, Manufacturers</v>
      </c>
      <c r="H28" t="str">
        <f>_xlfn.XLOOKUP(Budget_Features[[#This Row],[id]],tblLocations[feature_id], tblLocations[location])</f>
        <v>Nationwide</v>
      </c>
    </row>
    <row r="29" spans="1:8">
      <c r="A29">
        <v>28</v>
      </c>
      <c r="B29" t="s">
        <v>143</v>
      </c>
      <c r="C29" t="s">
        <v>144</v>
      </c>
      <c r="D29" t="s">
        <v>145</v>
      </c>
      <c r="E29" t="s">
        <v>146</v>
      </c>
      <c r="F29" t="str">
        <f>_xlfn.XLOOKUP(Budget_Features[[#This Row],[id]], tblAgeGroups[feature_id], tblAgeGroups[Age_Group])</f>
        <v>All Age Groups</v>
      </c>
      <c r="G29" t="str">
        <f>_xlfn.XLOOKUP(Budget_Features[[#This Row],[id]],tblProfessions[feature_id],tblProfessions[profession])</f>
        <v>Entrepreneurs, Farmers, Students</v>
      </c>
      <c r="H29" t="str">
        <f>_xlfn.XLOOKUP(Budget_Features[[#This Row],[id]],tblLocations[feature_id], tblLocations[location])</f>
        <v>Nationwide</v>
      </c>
    </row>
    <row r="30" spans="1:8">
      <c r="A30">
        <v>29</v>
      </c>
      <c r="B30" t="s">
        <v>148</v>
      </c>
      <c r="C30" t="s">
        <v>149</v>
      </c>
      <c r="D30" t="s">
        <v>150</v>
      </c>
      <c r="E30" t="s">
        <v>151</v>
      </c>
      <c r="F30" t="str">
        <f>_xlfn.XLOOKUP(Budget_Features[[#This Row],[id]], tblAgeGroups[feature_id], tblAgeGroups[Age_Group])</f>
        <v>Adults</v>
      </c>
      <c r="G30" t="str">
        <f>_xlfn.XLOOKUP(Budget_Features[[#This Row],[id]],tblProfessions[feature_id],tblProfessions[profession])</f>
        <v>Manufacturers</v>
      </c>
      <c r="H30" t="str">
        <f>_xlfn.XLOOKUP(Budget_Features[[#This Row],[id]],tblLocations[feature_id], tblLocations[location])</f>
        <v>Nationwide</v>
      </c>
    </row>
    <row r="31" spans="1:8">
      <c r="A31">
        <v>30</v>
      </c>
      <c r="B31" t="s">
        <v>153</v>
      </c>
      <c r="C31" t="s">
        <v>154</v>
      </c>
      <c r="D31" t="s">
        <v>155</v>
      </c>
      <c r="E31" t="s">
        <v>156</v>
      </c>
      <c r="F31" t="str">
        <f>_xlfn.XLOOKUP(Budget_Features[[#This Row],[id]], tblAgeGroups[feature_id], tblAgeGroups[Age_Group])</f>
        <v>All Age Groups</v>
      </c>
      <c r="G31" t="str">
        <f>_xlfn.XLOOKUP(Budget_Features[[#This Row],[id]],tblProfessions[feature_id],tblProfessions[profession])</f>
        <v>General Public, Students, Workforce</v>
      </c>
      <c r="H31" t="str">
        <f>_xlfn.XLOOKUP(Budget_Features[[#This Row],[id]],tblLocations[feature_id], tblLocations[location])</f>
        <v>Nationwide</v>
      </c>
    </row>
    <row r="32" spans="1:8">
      <c r="A32">
        <v>31</v>
      </c>
      <c r="B32" t="s">
        <v>159</v>
      </c>
      <c r="C32" t="s">
        <v>160</v>
      </c>
      <c r="D32" t="s">
        <v>161</v>
      </c>
      <c r="E32" t="s">
        <v>162</v>
      </c>
      <c r="F32" t="str">
        <f>_xlfn.XLOOKUP(Budget_Features[[#This Row],[id]], tblAgeGroups[feature_id], tblAgeGroups[Age_Group])</f>
        <v>Children, Adults</v>
      </c>
      <c r="G32" t="str">
        <f>_xlfn.XLOOKUP(Budget_Features[[#This Row],[id]],tblProfessions[feature_id],tblProfessions[profession])</f>
        <v>Children, Community Workers, Women</v>
      </c>
      <c r="H32" t="str">
        <f>_xlfn.XLOOKUP(Budget_Features[[#This Row],[id]],tblLocations[feature_id], tblLocations[location])</f>
        <v>Nationwide</v>
      </c>
    </row>
    <row r="33" spans="1:8">
      <c r="A33">
        <v>32</v>
      </c>
      <c r="B33" t="s">
        <v>164</v>
      </c>
      <c r="C33" t="s">
        <v>165</v>
      </c>
      <c r="D33" t="s">
        <v>166</v>
      </c>
      <c r="E33" t="s">
        <v>167</v>
      </c>
      <c r="F33" t="str">
        <f>_xlfn.XLOOKUP(Budget_Features[[#This Row],[id]], tblAgeGroups[feature_id], tblAgeGroups[Age_Group])</f>
        <v>Adults</v>
      </c>
      <c r="G33" t="str">
        <f>_xlfn.XLOOKUP(Budget_Features[[#This Row],[id]],tblProfessions[feature_id],tblProfessions[profession])</f>
        <v>Educators, Students</v>
      </c>
      <c r="H33" t="str">
        <f>_xlfn.XLOOKUP(Budget_Features[[#This Row],[id]],tblLocations[feature_id], tblLocations[location])</f>
        <v>Nationwide</v>
      </c>
    </row>
    <row r="34" spans="1:8">
      <c r="A34">
        <v>33</v>
      </c>
      <c r="B34" t="s">
        <v>169</v>
      </c>
      <c r="C34" t="s">
        <v>170</v>
      </c>
      <c r="D34" t="s">
        <v>171</v>
      </c>
      <c r="E34" t="s">
        <v>172</v>
      </c>
      <c r="F34" t="str">
        <f>_xlfn.XLOOKUP(Budget_Features[[#This Row],[id]], tblAgeGroups[feature_id], tblAgeGroups[Age_Group])</f>
        <v>All Age Groups</v>
      </c>
      <c r="G34" t="str">
        <f>_xlfn.XLOOKUP(Budget_Features[[#This Row],[id]],tblProfessions[feature_id],tblProfessions[profession])</f>
        <v>Educators, Healthcare Workers, Students</v>
      </c>
      <c r="H34" t="str">
        <f>_xlfn.XLOOKUP(Budget_Features[[#This Row],[id]],tblLocations[feature_id], tblLocations[location])</f>
        <v>Nationwide</v>
      </c>
    </row>
    <row r="35" spans="1:8">
      <c r="A35">
        <v>34</v>
      </c>
      <c r="B35" t="s">
        <v>174</v>
      </c>
      <c r="C35" t="s">
        <v>175</v>
      </c>
      <c r="D35" t="s">
        <v>176</v>
      </c>
      <c r="E35" t="s">
        <v>177</v>
      </c>
      <c r="F35" t="str">
        <f>_xlfn.XLOOKUP(Budget_Features[[#This Row],[id]], tblAgeGroups[feature_id], tblAgeGroups[Age_Group])</f>
        <v>All Age Groups</v>
      </c>
      <c r="G35" t="str">
        <f>_xlfn.XLOOKUP(Budget_Features[[#This Row],[id]],tblProfessions[feature_id],tblProfessions[profession])</f>
        <v>Authors, General Public, Publishers</v>
      </c>
      <c r="H35" t="str">
        <f>_xlfn.XLOOKUP(Budget_Features[[#This Row],[id]],tblLocations[feature_id], tblLocations[location])</f>
        <v>Nationwide</v>
      </c>
    </row>
    <row r="36" spans="1:8">
      <c r="A36">
        <v>35</v>
      </c>
      <c r="B36" t="s">
        <v>179</v>
      </c>
      <c r="C36" t="s">
        <v>180</v>
      </c>
      <c r="D36" t="s">
        <v>181</v>
      </c>
      <c r="E36" t="s">
        <v>182</v>
      </c>
      <c r="F36" t="str">
        <f>_xlfn.XLOOKUP(Budget_Features[[#This Row],[id]], tblAgeGroups[feature_id], tblAgeGroups[Age_Group])</f>
        <v>Adults</v>
      </c>
      <c r="G36" t="str">
        <f>_xlfn.XLOOKUP(Budget_Features[[#This Row],[id]],tblProfessions[feature_id],tblProfessions[profession])</f>
        <v>Industry Professionals, Job Seekers, Workers</v>
      </c>
      <c r="H36" t="str">
        <f>_xlfn.XLOOKUP(Budget_Features[[#This Row],[id]],tblLocations[feature_id], tblLocations[location])</f>
        <v>Nationwide</v>
      </c>
    </row>
    <row r="37" spans="1:8">
      <c r="A37">
        <v>36</v>
      </c>
      <c r="B37" t="s">
        <v>184</v>
      </c>
      <c r="C37" t="s">
        <v>185</v>
      </c>
      <c r="D37" t="s">
        <v>186</v>
      </c>
      <c r="E37" t="s">
        <v>187</v>
      </c>
      <c r="F37" t="str">
        <f>_xlfn.XLOOKUP(Budget_Features[[#This Row],[id]], tblAgeGroups[feature_id], tblAgeGroups[Age_Group])</f>
        <v>Adults</v>
      </c>
      <c r="G37" t="str">
        <f>_xlfn.XLOOKUP(Budget_Features[[#This Row],[id]],tblProfessions[feature_id],tblProfessions[profession])</f>
        <v>Researchers, Students</v>
      </c>
      <c r="H37" t="str">
        <f>_xlfn.XLOOKUP(Budget_Features[[#This Row],[id]],tblLocations[feature_id], tblLocations[location])</f>
        <v>Nationwide</v>
      </c>
    </row>
    <row r="38" spans="1:8">
      <c r="A38">
        <v>37</v>
      </c>
      <c r="B38" t="s">
        <v>188</v>
      </c>
      <c r="C38" t="s">
        <v>189</v>
      </c>
      <c r="D38" t="s">
        <v>190</v>
      </c>
      <c r="E38" t="s">
        <v>191</v>
      </c>
      <c r="F38" t="str">
        <f>_xlfn.XLOOKUP(Budget_Features[[#This Row],[id]], tblAgeGroups[feature_id], tblAgeGroups[Age_Group])</f>
        <v>Adults</v>
      </c>
      <c r="G38" t="str">
        <f>_xlfn.XLOOKUP(Budget_Features[[#This Row],[id]],tblProfessions[feature_id],tblProfessions[profession])</f>
        <v>Educators, Students</v>
      </c>
      <c r="H38" t="str">
        <f>_xlfn.XLOOKUP(Budget_Features[[#This Row],[id]],tblLocations[feature_id], tblLocations[location])</f>
        <v>Nationwide</v>
      </c>
    </row>
    <row r="39" spans="1:8">
      <c r="A39">
        <v>38</v>
      </c>
      <c r="B39" t="s">
        <v>193</v>
      </c>
      <c r="C39" t="s">
        <v>194</v>
      </c>
      <c r="D39" t="s">
        <v>195</v>
      </c>
      <c r="E39" t="s">
        <v>196</v>
      </c>
      <c r="F39" t="str">
        <f>_xlfn.XLOOKUP(Budget_Features[[#This Row],[id]], tblAgeGroups[feature_id], tblAgeGroups[Age_Group])</f>
        <v>Adults</v>
      </c>
      <c r="G39" t="str">
        <f>_xlfn.XLOOKUP(Budget_Features[[#This Row],[id]],tblProfessions[feature_id],tblProfessions[profession])</f>
        <v>Healthcare Workers, Students</v>
      </c>
      <c r="H39" t="str">
        <f>_xlfn.XLOOKUP(Budget_Features[[#This Row],[id]],tblLocations[feature_id], tblLocations[location])</f>
        <v>Nationwide</v>
      </c>
    </row>
    <row r="40" spans="1:8">
      <c r="A40">
        <v>39</v>
      </c>
      <c r="B40" t="s">
        <v>197</v>
      </c>
      <c r="C40" t="s">
        <v>198</v>
      </c>
      <c r="D40" t="s">
        <v>199</v>
      </c>
      <c r="E40" t="s">
        <v>200</v>
      </c>
      <c r="F40" t="str">
        <f>_xlfn.XLOOKUP(Budget_Features[[#This Row],[id]], tblAgeGroups[feature_id], tblAgeGroups[Age_Group])</f>
        <v>All Age Groups</v>
      </c>
      <c r="G40" t="str">
        <f>_xlfn.XLOOKUP(Budget_Features[[#This Row],[id]],tblProfessions[feature_id],tblProfessions[profession])</f>
        <v>General Public</v>
      </c>
      <c r="H40" t="str">
        <f>_xlfn.XLOOKUP(Budget_Features[[#This Row],[id]],tblLocations[feature_id], tblLocations[location])</f>
        <v>Nationwide</v>
      </c>
    </row>
    <row r="41" spans="1:8">
      <c r="A41">
        <v>40</v>
      </c>
      <c r="B41" t="s">
        <v>202</v>
      </c>
      <c r="C41" t="s">
        <v>203</v>
      </c>
      <c r="D41" t="s">
        <v>204</v>
      </c>
      <c r="E41" t="s">
        <v>205</v>
      </c>
      <c r="F41" t="str">
        <f>_xlfn.XLOOKUP(Budget_Features[[#This Row],[id]], tblAgeGroups[feature_id], tblAgeGroups[Age_Group])</f>
        <v>Adults</v>
      </c>
      <c r="G41" t="str">
        <f>_xlfn.XLOOKUP(Budget_Features[[#This Row],[id]],tblProfessions[feature_id],tblProfessions[profession])</f>
        <v>General Public</v>
      </c>
      <c r="H41" t="str">
        <f>_xlfn.XLOOKUP(Budget_Features[[#This Row],[id]],tblLocations[feature_id], tblLocations[location])</f>
        <v>Urban Areas</v>
      </c>
    </row>
    <row r="42" spans="1:8">
      <c r="A42">
        <v>41</v>
      </c>
      <c r="B42" t="s">
        <v>207</v>
      </c>
      <c r="C42" t="s">
        <v>208</v>
      </c>
      <c r="D42" t="s">
        <v>209</v>
      </c>
      <c r="E42" t="s">
        <v>210</v>
      </c>
      <c r="F42" t="str">
        <f>_xlfn.XLOOKUP(Budget_Features[[#This Row],[id]], tblAgeGroups[feature_id], tblAgeGroups[Age_Group])</f>
        <v>Adults</v>
      </c>
      <c r="G42" t="str">
        <f>_xlfn.XLOOKUP(Budget_Features[[#This Row],[id]],tblProfessions[feature_id],tblProfessions[profession])</f>
        <v>Low-Income Individuals</v>
      </c>
      <c r="H42" t="str">
        <f>_xlfn.XLOOKUP(Budget_Features[[#This Row],[id]],tblLocations[feature_id], tblLocations[location])</f>
        <v>Nationwide</v>
      </c>
    </row>
    <row r="43" spans="1:8">
      <c r="A43">
        <v>42</v>
      </c>
      <c r="B43" t="s">
        <v>211</v>
      </c>
      <c r="C43" t="s">
        <v>212</v>
      </c>
      <c r="D43" t="s">
        <v>213</v>
      </c>
      <c r="E43" t="s">
        <v>214</v>
      </c>
      <c r="F43" t="str">
        <f>_xlfn.XLOOKUP(Budget_Features[[#This Row],[id]], tblAgeGroups[feature_id], tblAgeGroups[Age_Group])</f>
        <v>Adults</v>
      </c>
      <c r="G43" t="str">
        <f>_xlfn.XLOOKUP(Budget_Features[[#This Row],[id]],tblProfessions[feature_id],tblProfessions[profession])</f>
        <v>General Public</v>
      </c>
      <c r="H43" t="str">
        <f>_xlfn.XLOOKUP(Budget_Features[[#This Row],[id]],tblLocations[feature_id], tblLocations[location])</f>
        <v>Nationwide</v>
      </c>
    </row>
    <row r="44" spans="1:8">
      <c r="A44">
        <v>43</v>
      </c>
      <c r="B44" t="s">
        <v>216</v>
      </c>
      <c r="C44" t="s">
        <v>217</v>
      </c>
      <c r="D44" t="s">
        <v>218</v>
      </c>
      <c r="E44" t="s">
        <v>219</v>
      </c>
      <c r="F44" t="str">
        <f>_xlfn.XLOOKUP(Budget_Features[[#This Row],[id]], tblAgeGroups[feature_id], tblAgeGroups[Age_Group])</f>
        <v>All Age Groups</v>
      </c>
      <c r="G44" t="str">
        <f>_xlfn.XLOOKUP(Budget_Features[[#This Row],[id]],tblProfessions[feature_id],tblProfessions[profession])</f>
        <v>General Public, Investors</v>
      </c>
      <c r="H44" t="str">
        <f>_xlfn.XLOOKUP(Budget_Features[[#This Row],[id]],tblLocations[feature_id], tblLocations[location])</f>
        <v>Nationwide</v>
      </c>
    </row>
    <row r="45" spans="1:8">
      <c r="A45">
        <v>44</v>
      </c>
      <c r="B45" t="s">
        <v>220</v>
      </c>
      <c r="C45" t="s">
        <v>221</v>
      </c>
      <c r="D45" t="s">
        <v>222</v>
      </c>
      <c r="E45" t="s">
        <v>223</v>
      </c>
      <c r="F45" t="str">
        <f>_xlfn.XLOOKUP(Budget_Features[[#This Row],[id]], tblAgeGroups[feature_id], tblAgeGroups[Age_Group])</f>
        <v>All Age Groups</v>
      </c>
      <c r="G45" t="str">
        <f>_xlfn.XLOOKUP(Budget_Features[[#This Row],[id]],tblProfessions[feature_id],tblProfessions[profession])</f>
        <v>General Public</v>
      </c>
      <c r="H45" t="str">
        <f>_xlfn.XLOOKUP(Budget_Features[[#This Row],[id]],tblLocations[feature_id], tblLocations[location])</f>
        <v>Nationwide</v>
      </c>
    </row>
    <row r="46" spans="1:8">
      <c r="A46">
        <v>45</v>
      </c>
      <c r="B46" t="s">
        <v>224</v>
      </c>
      <c r="C46" t="s">
        <v>225</v>
      </c>
      <c r="D46" t="s">
        <v>226</v>
      </c>
      <c r="E46" t="s">
        <v>227</v>
      </c>
      <c r="F46" t="str">
        <f>_xlfn.XLOOKUP(Budget_Features[[#This Row],[id]], tblAgeGroups[feature_id], tblAgeGroups[Age_Group])</f>
        <v>Adults</v>
      </c>
      <c r="G46" t="str">
        <f>_xlfn.XLOOKUP(Budget_Features[[#This Row],[id]],tblProfessions[feature_id],tblProfessions[profession])</f>
        <v>General Public, Investors</v>
      </c>
      <c r="H46" t="str">
        <f>_xlfn.XLOOKUP(Budget_Features[[#This Row],[id]],tblLocations[feature_id], tblLocations[location])</f>
        <v>Nationwide</v>
      </c>
    </row>
    <row r="47" spans="1:8">
      <c r="A47">
        <v>46</v>
      </c>
      <c r="B47" t="s">
        <v>228</v>
      </c>
      <c r="C47" t="s">
        <v>229</v>
      </c>
      <c r="D47" t="s">
        <v>230</v>
      </c>
      <c r="E47" t="s">
        <v>231</v>
      </c>
      <c r="F47" t="str">
        <f>_xlfn.XLOOKUP(Budget_Features[[#This Row],[id]], tblAgeGroups[feature_id], tblAgeGroups[Age_Group])</f>
        <v>All Age Groups</v>
      </c>
      <c r="G47" t="str">
        <f>_xlfn.XLOOKUP(Budget_Features[[#This Row],[id]],tblProfessions[feature_id],tblProfessions[profession])</f>
        <v>General Public</v>
      </c>
      <c r="H47" t="str">
        <f>_xlfn.XLOOKUP(Budget_Features[[#This Row],[id]],tblLocations[feature_id], tblLocations[location])</f>
        <v>Nationwide</v>
      </c>
    </row>
    <row r="48" spans="1:8">
      <c r="A48">
        <v>47</v>
      </c>
      <c r="B48" t="s">
        <v>233</v>
      </c>
      <c r="C48" t="s">
        <v>234</v>
      </c>
      <c r="D48" t="s">
        <v>235</v>
      </c>
      <c r="E48" t="s">
        <v>236</v>
      </c>
      <c r="F48" t="str">
        <f>_xlfn.XLOOKUP(Budget_Features[[#This Row],[id]], tblAgeGroups[feature_id], tblAgeGroups[Age_Group])</f>
        <v>All Age Groups</v>
      </c>
      <c r="G48" t="str">
        <f>_xlfn.XLOOKUP(Budget_Features[[#This Row],[id]],tblProfessions[feature_id],tblProfessions[profession])</f>
        <v>Innovators</v>
      </c>
      <c r="H48" t="str">
        <f>_xlfn.XLOOKUP(Budget_Features[[#This Row],[id]],tblLocations[feature_id], tblLocations[location])</f>
        <v>Urban Areas</v>
      </c>
    </row>
    <row r="49" spans="1:8">
      <c r="A49">
        <v>48</v>
      </c>
      <c r="B49" t="s">
        <v>237</v>
      </c>
      <c r="C49" t="s">
        <v>238</v>
      </c>
      <c r="D49" t="s">
        <v>239</v>
      </c>
      <c r="E49" t="s">
        <v>240</v>
      </c>
      <c r="F49" t="str">
        <f>_xlfn.XLOOKUP(Budget_Features[[#This Row],[id]], tblAgeGroups[feature_id], tblAgeGroups[Age_Group])</f>
        <v>All Age Groups</v>
      </c>
      <c r="G49" t="str">
        <f>_xlfn.XLOOKUP(Budget_Features[[#This Row],[id]],tblProfessions[feature_id],tblProfessions[profession])</f>
        <v>General Public</v>
      </c>
      <c r="H49" t="str">
        <f>_xlfn.XLOOKUP(Budget_Features[[#This Row],[id]],tblLocations[feature_id], tblLocations[location])</f>
        <v>Nationwide</v>
      </c>
    </row>
    <row r="50" spans="1:8">
      <c r="A50">
        <v>49</v>
      </c>
      <c r="B50" t="s">
        <v>241</v>
      </c>
      <c r="C50" t="s">
        <v>242</v>
      </c>
      <c r="D50" t="s">
        <v>243</v>
      </c>
      <c r="E50" t="s">
        <v>244</v>
      </c>
      <c r="F50" t="str">
        <f>_xlfn.XLOOKUP(Budget_Features[[#This Row],[id]], tblAgeGroups[feature_id], tblAgeGroups[Age_Group])</f>
        <v>All Age Groups</v>
      </c>
      <c r="G50" t="str">
        <f>_xlfn.XLOOKUP(Budget_Features[[#This Row],[id]],tblProfessions[feature_id],tblProfessions[profession])</f>
        <v>General Public</v>
      </c>
      <c r="H50" t="str">
        <f>_xlfn.XLOOKUP(Budget_Features[[#This Row],[id]],tblLocations[feature_id], tblLocations[location])</f>
        <v>Nationwide</v>
      </c>
    </row>
    <row r="51" spans="1:8">
      <c r="A51">
        <v>50</v>
      </c>
      <c r="B51" t="s">
        <v>246</v>
      </c>
      <c r="C51" t="s">
        <v>247</v>
      </c>
      <c r="D51" t="s">
        <v>248</v>
      </c>
      <c r="E51" t="s">
        <v>249</v>
      </c>
      <c r="F51" t="str">
        <f>_xlfn.XLOOKUP(Budget_Features[[#This Row],[id]], tblAgeGroups[feature_id], tblAgeGroups[Age_Group])</f>
        <v>All Age Groups</v>
      </c>
      <c r="G51" t="str">
        <f>_xlfn.XLOOKUP(Budget_Features[[#This Row],[id]],tblProfessions[feature_id],tblProfessions[profession])</f>
        <v>Investors</v>
      </c>
      <c r="H51" t="str">
        <f>_xlfn.XLOOKUP(Budget_Features[[#This Row],[id]],tblLocations[feature_id], tblLocations[location])</f>
        <v>Nationwide</v>
      </c>
    </row>
    <row r="52" spans="1:8">
      <c r="A52">
        <v>51</v>
      </c>
      <c r="B52" t="s">
        <v>250</v>
      </c>
      <c r="C52" t="s">
        <v>251</v>
      </c>
      <c r="D52" t="s">
        <v>252</v>
      </c>
      <c r="E52" t="s">
        <v>253</v>
      </c>
      <c r="F52" t="str">
        <f>_xlfn.XLOOKUP(Budget_Features[[#This Row],[id]], tblAgeGroups[feature_id], tblAgeGroups[Age_Group])</f>
        <v>All Age Groups</v>
      </c>
      <c r="G52" t="str">
        <f>_xlfn.XLOOKUP(Budget_Features[[#This Row],[id]],tblProfessions[feature_id],tblProfessions[profession])</f>
        <v>General Public</v>
      </c>
      <c r="H52" t="str">
        <f>_xlfn.XLOOKUP(Budget_Features[[#This Row],[id]],tblLocations[feature_id], tblLocations[location])</f>
        <v>Nationwide</v>
      </c>
    </row>
    <row r="53" spans="1:8">
      <c r="A53">
        <v>52</v>
      </c>
      <c r="B53" t="s">
        <v>254</v>
      </c>
      <c r="C53" t="s">
        <v>255</v>
      </c>
      <c r="D53" t="s">
        <v>256</v>
      </c>
      <c r="E53" t="s">
        <v>257</v>
      </c>
      <c r="F53" t="str">
        <f>_xlfn.XLOOKUP(Budget_Features[[#This Row],[id]], tblAgeGroups[feature_id], tblAgeGroups[Age_Group])</f>
        <v>All Age Groups</v>
      </c>
      <c r="G53" t="str">
        <f>_xlfn.XLOOKUP(Budget_Features[[#This Row],[id]],tblProfessions[feature_id],tblProfessions[profession])</f>
        <v>General Public</v>
      </c>
      <c r="H53" t="str">
        <f>_xlfn.XLOOKUP(Budget_Features[[#This Row],[id]],tblLocations[feature_id], tblLocations[location])</f>
        <v>Bihar</v>
      </c>
    </row>
    <row r="54" spans="1:8">
      <c r="A54">
        <v>53</v>
      </c>
      <c r="B54" t="s">
        <v>260</v>
      </c>
      <c r="C54" t="s">
        <v>261</v>
      </c>
      <c r="D54" t="s">
        <v>262</v>
      </c>
      <c r="E54" t="s">
        <v>263</v>
      </c>
      <c r="F54" t="str">
        <f>_xlfn.XLOOKUP(Budget_Features[[#This Row],[id]], tblAgeGroups[feature_id], tblAgeGroups[Age_Group])</f>
        <v>Adults</v>
      </c>
      <c r="G54" t="str">
        <f>_xlfn.XLOOKUP(Budget_Features[[#This Row],[id]],tblProfessions[feature_id],tblProfessions[profession])</f>
        <v>Farmers</v>
      </c>
      <c r="H54" t="str">
        <f>_xlfn.XLOOKUP(Budget_Features[[#This Row],[id]],tblLocations[feature_id], tblLocations[location])</f>
        <v>Mithilanchal</v>
      </c>
    </row>
    <row r="55" spans="1:8">
      <c r="A55">
        <v>54</v>
      </c>
      <c r="B55" t="s">
        <v>265</v>
      </c>
      <c r="C55" t="s">
        <v>266</v>
      </c>
      <c r="D55" t="s">
        <v>267</v>
      </c>
      <c r="E55" t="s">
        <v>268</v>
      </c>
      <c r="F55" t="str">
        <f>_xlfn.XLOOKUP(Budget_Features[[#This Row],[id]], tblAgeGroups[feature_id], tblAgeGroups[Age_Group])</f>
        <v>Adults</v>
      </c>
      <c r="G55" t="str">
        <f>_xlfn.XLOOKUP(Budget_Features[[#This Row],[id]],tblProfessions[feature_id],tblProfessions[profession])</f>
        <v>Investors, Job Seekers, Mining Companies</v>
      </c>
      <c r="H55" t="str">
        <f>_xlfn.XLOOKUP(Budget_Features[[#This Row],[id]],tblLocations[feature_id], tblLocations[location])</f>
        <v>Nationwide</v>
      </c>
    </row>
    <row r="56" spans="1:8">
      <c r="A56">
        <v>55</v>
      </c>
      <c r="B56" t="s">
        <v>270</v>
      </c>
      <c r="C56" t="s">
        <v>271</v>
      </c>
      <c r="D56" t="s">
        <v>272</v>
      </c>
      <c r="E56" t="s">
        <v>273</v>
      </c>
      <c r="F56" t="str">
        <f>_xlfn.XLOOKUP(Budget_Features[[#This Row],[id]], tblAgeGroups[feature_id], tblAgeGroups[Age_Group])</f>
        <v>Adults</v>
      </c>
      <c r="G56" t="str">
        <f>_xlfn.XLOOKUP(Budget_Features[[#This Row],[id]],tblProfessions[feature_id],tblProfessions[profession])</f>
        <v>Entrepreneurs, Investors, Job Seekers, Small Business Owners</v>
      </c>
      <c r="H56" t="str">
        <f>_xlfn.XLOOKUP(Budget_Features[[#This Row],[id]],tblLocations[feature_id], tblLocations[location])</f>
        <v>Nationwide</v>
      </c>
    </row>
    <row r="57" spans="1:8">
      <c r="A57">
        <v>56</v>
      </c>
      <c r="B57" t="s">
        <v>275</v>
      </c>
      <c r="C57" t="s">
        <v>276</v>
      </c>
      <c r="D57" t="s">
        <v>277</v>
      </c>
      <c r="E57" t="s">
        <v>278</v>
      </c>
      <c r="F57" t="str">
        <f>_xlfn.XLOOKUP(Budget_Features[[#This Row],[id]], tblAgeGroups[feature_id], tblAgeGroups[Age_Group])</f>
        <v>Adults</v>
      </c>
      <c r="G57" t="str">
        <f>_xlfn.XLOOKUP(Budget_Features[[#This Row],[id]],tblProfessions[feature_id],tblProfessions[profession])</f>
        <v>Job Seekers, Tourism Entrepreneurs</v>
      </c>
      <c r="H57" t="str">
        <f>_xlfn.XLOOKUP(Budget_Features[[#This Row],[id]],tblLocations[feature_id], tblLocations[location])</f>
        <v>Nationwide</v>
      </c>
    </row>
    <row r="58" spans="1:8">
      <c r="A58">
        <v>57</v>
      </c>
      <c r="B58" t="s">
        <v>280</v>
      </c>
      <c r="C58" t="s">
        <v>281</v>
      </c>
      <c r="D58" t="s">
        <v>282</v>
      </c>
      <c r="E58" t="s">
        <v>283</v>
      </c>
      <c r="F58" t="str">
        <f>_xlfn.XLOOKUP(Budget_Features[[#This Row],[id]], tblAgeGroups[feature_id], tblAgeGroups[Age_Group])</f>
        <v>Adults</v>
      </c>
      <c r="G58" t="str">
        <f>_xlfn.XLOOKUP(Budget_Features[[#This Row],[id]],tblProfessions[feature_id],tblProfessions[profession])</f>
        <v>Entrepreneurs, Innovators, Researchers</v>
      </c>
      <c r="H58" t="str">
        <f>_xlfn.XLOOKUP(Budget_Features[[#This Row],[id]],tblLocations[feature_id], tblLocations[location])</f>
        <v>Nationwide</v>
      </c>
    </row>
    <row r="59" spans="1:8">
      <c r="A59">
        <v>58</v>
      </c>
      <c r="B59" t="s">
        <v>285</v>
      </c>
      <c r="C59" t="s">
        <v>286</v>
      </c>
      <c r="D59" t="s">
        <v>287</v>
      </c>
      <c r="E59" t="s">
        <v>288</v>
      </c>
      <c r="F59" t="str">
        <f>_xlfn.XLOOKUP(Budget_Features[[#This Row],[id]], tblAgeGroups[feature_id], tblAgeGroups[Age_Group])</f>
        <v>Adults</v>
      </c>
      <c r="G59" t="str">
        <f>_xlfn.XLOOKUP(Budget_Features[[#This Row],[id]],tblProfessions[feature_id],tblProfessions[profession])</f>
        <v>Investors, Technologists</v>
      </c>
      <c r="H59" t="str">
        <f>_xlfn.XLOOKUP(Budget_Features[[#This Row],[id]],tblLocations[feature_id], tblLocations[location])</f>
        <v>Nationwide</v>
      </c>
    </row>
    <row r="60" spans="1:8">
      <c r="A60">
        <v>59</v>
      </c>
      <c r="B60" t="s">
        <v>290</v>
      </c>
      <c r="C60" t="s">
        <v>291</v>
      </c>
      <c r="D60" t="s">
        <v>292</v>
      </c>
      <c r="E60" t="s">
        <v>293</v>
      </c>
      <c r="F60" t="str">
        <f>_xlfn.XLOOKUP(Budget_Features[[#This Row],[id]], tblAgeGroups[feature_id], tblAgeGroups[Age_Group])</f>
        <v>Adults</v>
      </c>
      <c r="G60" t="str">
        <f>_xlfn.XLOOKUP(Budget_Features[[#This Row],[id]],tblProfessions[feature_id],tblProfessions[profession])</f>
        <v>Researchers</v>
      </c>
      <c r="H60" t="str">
        <f>_xlfn.XLOOKUP(Budget_Features[[#This Row],[id]],tblLocations[feature_id], tblLocations[location])</f>
        <v>Nationwide</v>
      </c>
    </row>
    <row r="61" spans="1:8">
      <c r="A61">
        <v>60</v>
      </c>
      <c r="B61" t="s">
        <v>295</v>
      </c>
      <c r="C61" t="s">
        <v>296</v>
      </c>
      <c r="D61" t="s">
        <v>297</v>
      </c>
      <c r="E61" t="s">
        <v>298</v>
      </c>
      <c r="F61" t="str">
        <f>_xlfn.XLOOKUP(Budget_Features[[#This Row],[id]], tblAgeGroups[feature_id], tblAgeGroups[Age_Group])</f>
        <v>Adults</v>
      </c>
      <c r="G61" t="str">
        <f>_xlfn.XLOOKUP(Budget_Features[[#This Row],[id]],tblProfessions[feature_id],tblProfessions[profession])</f>
        <v>Farmers, Researchers</v>
      </c>
      <c r="H61" t="str">
        <f>_xlfn.XLOOKUP(Budget_Features[[#This Row],[id]],tblLocations[feature_id], tblLocations[location])</f>
        <v>Nationwide</v>
      </c>
    </row>
    <row r="62" spans="1:8">
      <c r="A62">
        <v>61</v>
      </c>
      <c r="B62" t="s">
        <v>300</v>
      </c>
      <c r="C62" t="s">
        <v>301</v>
      </c>
      <c r="D62" t="s">
        <v>302</v>
      </c>
      <c r="E62" t="s">
        <v>303</v>
      </c>
      <c r="F62" t="str">
        <f>_xlfn.XLOOKUP(Budget_Features[[#This Row],[id]], tblAgeGroups[feature_id], tblAgeGroups[Age_Group])</f>
        <v>All Age Groups</v>
      </c>
      <c r="G62" t="str">
        <f>_xlfn.XLOOKUP(Budget_Features[[#This Row],[id]],tblProfessions[feature_id],tblProfessions[profession])</f>
        <v>Researchers, Technologists</v>
      </c>
      <c r="H62" t="str">
        <f>_xlfn.XLOOKUP(Budget_Features[[#This Row],[id]],tblLocations[feature_id], tblLocations[location])</f>
        <v>Nationwide</v>
      </c>
    </row>
    <row r="63" spans="1:8">
      <c r="A63">
        <v>62</v>
      </c>
      <c r="B63" t="s">
        <v>304</v>
      </c>
      <c r="C63" t="s">
        <v>305</v>
      </c>
      <c r="D63" t="s">
        <v>306</v>
      </c>
      <c r="E63" t="s">
        <v>307</v>
      </c>
      <c r="F63" t="str">
        <f>_xlfn.XLOOKUP(Budget_Features[[#This Row],[id]], tblAgeGroups[feature_id], tblAgeGroups[Age_Group])</f>
        <v>Children, Adults</v>
      </c>
      <c r="G63" t="str">
        <f>_xlfn.XLOOKUP(Budget_Features[[#This Row],[id]],tblProfessions[feature_id],tblProfessions[profession])</f>
        <v>Students, Teachers</v>
      </c>
      <c r="H63" t="str">
        <f>_xlfn.XLOOKUP(Budget_Features[[#This Row],[id]],tblLocations[feature_id], tblLocations[location])</f>
        <v>Nationwide</v>
      </c>
    </row>
    <row r="64" spans="1:8">
      <c r="A64">
        <v>63</v>
      </c>
      <c r="B64" t="s">
        <v>309</v>
      </c>
      <c r="C64" t="s">
        <v>310</v>
      </c>
      <c r="D64" t="s">
        <v>311</v>
      </c>
      <c r="E64" t="s">
        <v>312</v>
      </c>
      <c r="F64" t="str">
        <f>_xlfn.XLOOKUP(Budget_Features[[#This Row],[id]], tblAgeGroups[feature_id], tblAgeGroups[Age_Group])</f>
        <v>Adults</v>
      </c>
      <c r="G64" t="str">
        <f>_xlfn.XLOOKUP(Budget_Features[[#This Row],[id]],tblProfessions[feature_id],tblProfessions[profession])</f>
        <v>Exporters</v>
      </c>
      <c r="H64" t="str">
        <f>_xlfn.XLOOKUP(Budget_Features[[#This Row],[id]],tblLocations[feature_id], tblLocations[location])</f>
        <v>Nationwide</v>
      </c>
    </row>
    <row r="65" spans="1:8" ht="91.5">
      <c r="A65">
        <v>64</v>
      </c>
      <c r="B65" t="s">
        <v>313</v>
      </c>
      <c r="C65" t="s">
        <v>314</v>
      </c>
      <c r="D65" t="s">
        <v>315</v>
      </c>
      <c r="E65" s="1" t="s">
        <v>316</v>
      </c>
      <c r="F65" t="str">
        <f>_xlfn.XLOOKUP(Budget_Features[[#This Row],[id]], tblAgeGroups[feature_id], tblAgeGroups[Age_Group])</f>
        <v>Adults</v>
      </c>
      <c r="G65" t="str">
        <f>_xlfn.XLOOKUP(Budget_Features[[#This Row],[id]],tblProfessions[feature_id],tblProfessions[profession])</f>
        <v>Exporters</v>
      </c>
      <c r="H65" t="str">
        <f>_xlfn.XLOOKUP(Budget_Features[[#This Row],[id]],tblLocations[feature_id], tblLocations[location])</f>
        <v>Nationwide</v>
      </c>
    </row>
    <row r="66" spans="1:8">
      <c r="A66">
        <v>65</v>
      </c>
      <c r="B66" t="s">
        <v>317</v>
      </c>
      <c r="C66" t="s">
        <v>318</v>
      </c>
      <c r="D66" t="s">
        <v>319</v>
      </c>
      <c r="E66" t="s">
        <v>320</v>
      </c>
      <c r="F66" t="str">
        <f>_xlfn.XLOOKUP(Budget_Features[[#This Row],[id]], tblAgeGroups[feature_id], tblAgeGroups[Age_Group])</f>
        <v>Adults</v>
      </c>
      <c r="G66" t="str">
        <f>_xlfn.XLOOKUP(Budget_Features[[#This Row],[id]],tblProfessions[feature_id],tblProfessions[profession])</f>
        <v>Exporters</v>
      </c>
      <c r="H66" t="str">
        <f>_xlfn.XLOOKUP(Budget_Features[[#This Row],[id]],tblLocations[feature_id], tblLocations[location])</f>
        <v>Nationwide</v>
      </c>
    </row>
    <row r="67" spans="1:8">
      <c r="A67">
        <v>66</v>
      </c>
      <c r="B67" t="s">
        <v>321</v>
      </c>
      <c r="C67" t="s">
        <v>322</v>
      </c>
      <c r="D67" t="s">
        <v>323</v>
      </c>
      <c r="E67" t="s">
        <v>324</v>
      </c>
      <c r="F67" t="str">
        <f>_xlfn.XLOOKUP(Budget_Features[[#This Row],[id]], tblAgeGroups[feature_id], tblAgeGroups[Age_Group])</f>
        <v>All Age Groups</v>
      </c>
      <c r="G67" t="str">
        <f>_xlfn.XLOOKUP(Budget_Features[[#This Row],[id]],tblProfessions[feature_id],tblProfessions[profession])</f>
        <v>General Public, Investors</v>
      </c>
      <c r="H67" t="str">
        <f>_xlfn.XLOOKUP(Budget_Features[[#This Row],[id]],tblLocations[feature_id], tblLocations[location])</f>
        <v>Nationwide</v>
      </c>
    </row>
    <row r="68" spans="1:8">
      <c r="A68">
        <v>67</v>
      </c>
      <c r="B68" t="s">
        <v>326</v>
      </c>
      <c r="C68" t="s">
        <v>327</v>
      </c>
      <c r="D68" t="s">
        <v>328</v>
      </c>
      <c r="E68" t="s">
        <v>329</v>
      </c>
      <c r="F68" t="str">
        <f>_xlfn.XLOOKUP(Budget_Features[[#This Row],[id]], tblAgeGroups[feature_id], tblAgeGroups[Age_Group])</f>
        <v>Adults</v>
      </c>
      <c r="G68" t="str">
        <f>_xlfn.XLOOKUP(Budget_Features[[#This Row],[id]],tblProfessions[feature_id],tblProfessions[profession])</f>
        <v>Banks, Borrowers, Policy Makers</v>
      </c>
      <c r="H68" t="str">
        <f>_xlfn.XLOOKUP(Budget_Features[[#This Row],[id]],tblLocations[feature_id], tblLocations[location])</f>
        <v>Nationwide</v>
      </c>
    </row>
    <row r="69" spans="1:8">
      <c r="A69">
        <v>68</v>
      </c>
      <c r="B69" t="s">
        <v>331</v>
      </c>
      <c r="C69" t="s">
        <v>332</v>
      </c>
      <c r="D69" t="s">
        <v>333</v>
      </c>
      <c r="E69" t="s">
        <v>334</v>
      </c>
      <c r="F69" t="str">
        <f>_xlfn.XLOOKUP(Budget_Features[[#This Row],[id]], tblAgeGroups[feature_id], tblAgeGroups[Age_Group])</f>
        <v>Adults</v>
      </c>
      <c r="G69" t="str">
        <f>_xlfn.XLOOKUP(Budget_Features[[#This Row],[id]],tblProfessions[feature_id],tblProfessions[profession])</f>
        <v>Low-Income Individuals, Policy Makers, Rural Population</v>
      </c>
      <c r="H69" t="str">
        <f>_xlfn.XLOOKUP(Budget_Features[[#This Row],[id]],tblLocations[feature_id], tblLocations[location])</f>
        <v>Nationwide</v>
      </c>
    </row>
    <row r="70" spans="1:8">
      <c r="A70">
        <v>69</v>
      </c>
      <c r="B70" t="s">
        <v>337</v>
      </c>
      <c r="C70" t="s">
        <v>338</v>
      </c>
      <c r="D70" t="s">
        <v>339</v>
      </c>
      <c r="E70" t="s">
        <v>340</v>
      </c>
      <c r="F70" t="str">
        <f>_xlfn.XLOOKUP(Budget_Features[[#This Row],[id]], tblAgeGroups[feature_id], tblAgeGroups[Age_Group])</f>
        <v>Adults, Senior Citizens</v>
      </c>
      <c r="G70" t="str">
        <f>_xlfn.XLOOKUP(Budget_Features[[#This Row],[id]],tblProfessions[feature_id],tblProfessions[profession])</f>
        <v>Policy Makers, Retirees, Working Population</v>
      </c>
      <c r="H70" t="str">
        <f>_xlfn.XLOOKUP(Budget_Features[[#This Row],[id]],tblLocations[feature_id], tblLocations[location])</f>
        <v>Nationwide</v>
      </c>
    </row>
    <row r="71" spans="1:8">
      <c r="A71">
        <v>70</v>
      </c>
      <c r="B71" t="s">
        <v>342</v>
      </c>
      <c r="C71" t="s">
        <v>343</v>
      </c>
      <c r="D71" t="s">
        <v>344</v>
      </c>
      <c r="E71" t="s">
        <v>345</v>
      </c>
      <c r="F71" t="str">
        <f>_xlfn.XLOOKUP(Budget_Features[[#This Row],[id]], tblAgeGroups[feature_id], tblAgeGroups[Age_Group])</f>
        <v>Adults</v>
      </c>
      <c r="G71" t="str">
        <f>_xlfn.XLOOKUP(Budget_Features[[#This Row],[id]],tblProfessions[feature_id],tblProfessions[profession])</f>
        <v>Businesses, Investors, Policy Makers</v>
      </c>
      <c r="H71" t="str">
        <f>_xlfn.XLOOKUP(Budget_Features[[#This Row],[id]],tblLocations[feature_id], tblLocations[location])</f>
        <v>Nationwide</v>
      </c>
    </row>
    <row r="72" spans="1:8">
      <c r="A72">
        <v>71</v>
      </c>
      <c r="B72" t="s">
        <v>346</v>
      </c>
      <c r="C72" t="s">
        <v>347</v>
      </c>
      <c r="D72" t="s">
        <v>348</v>
      </c>
      <c r="E72" t="s">
        <v>349</v>
      </c>
      <c r="F72" t="str">
        <f>_xlfn.XLOOKUP(Budget_Features[[#This Row],[id]], tblAgeGroups[feature_id], tblAgeGroups[Age_Group])</f>
        <v>Adults</v>
      </c>
      <c r="G72" t="str">
        <f>_xlfn.XLOOKUP(Budget_Features[[#This Row],[id]],tblProfessions[feature_id],tblProfessions[profession])</f>
        <v>Investors</v>
      </c>
      <c r="H72" t="str">
        <f>_xlfn.XLOOKUP(Budget_Features[[#This Row],[id]],tblLocations[feature_id], tblLocations[location])</f>
        <v>Nationwide</v>
      </c>
    </row>
    <row r="73" spans="1:8">
      <c r="A73">
        <v>72</v>
      </c>
      <c r="B73" t="s">
        <v>351</v>
      </c>
      <c r="C73" t="s">
        <v>352</v>
      </c>
      <c r="D73" t="s">
        <v>353</v>
      </c>
      <c r="E73" t="s">
        <v>354</v>
      </c>
      <c r="F73" t="str">
        <f>_xlfn.XLOOKUP(Budget_Features[[#This Row],[id]], tblAgeGroups[feature_id], tblAgeGroups[Age_Group])</f>
        <v>Adults</v>
      </c>
      <c r="G73" t="str">
        <f>_xlfn.XLOOKUP(Budget_Features[[#This Row],[id]],tblProfessions[feature_id],tblProfessions[profession])</f>
        <v>Businesses, General Public</v>
      </c>
      <c r="H73" t="str">
        <f>_xlfn.XLOOKUP(Budget_Features[[#This Row],[id]],tblLocations[feature_id], tblLocations[location])</f>
        <v>Nationwide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CA69-0D47-47BD-9BB3-D5D66C9CA5DC}">
  <dimension ref="A2:W58"/>
  <sheetViews>
    <sheetView showGridLines="0" topLeftCell="A63" workbookViewId="0">
      <selection activeCell="D6" sqref="D6"/>
    </sheetView>
  </sheetViews>
  <sheetFormatPr defaultRowHeight="15"/>
  <cols>
    <col min="1" max="1" width="5.5703125" customWidth="1"/>
    <col min="2" max="2" width="55.85546875" customWidth="1"/>
    <col min="3" max="3" width="21.42578125" customWidth="1"/>
    <col min="4" max="4" width="21.5703125" customWidth="1"/>
    <col min="5" max="5" width="22.7109375" customWidth="1"/>
    <col min="6" max="6" width="13.7109375" customWidth="1"/>
    <col min="7" max="7" width="21.28515625" customWidth="1"/>
    <col min="8" max="8" width="22" customWidth="1"/>
    <col min="9" max="9" width="40.7109375" customWidth="1"/>
    <col min="10" max="10" width="11.5703125" customWidth="1"/>
    <col min="11" max="11" width="20.28515625" customWidth="1"/>
    <col min="12" max="12" width="6.42578125" customWidth="1"/>
    <col min="13" max="13" width="17.42578125" customWidth="1"/>
    <col min="22" max="22" width="36.5703125" bestFit="1" customWidth="1"/>
  </cols>
  <sheetData>
    <row r="2" spans="1:23" ht="17.25" customHeight="1"/>
    <row r="3" spans="1:23" ht="16.5" customHeight="1"/>
    <row r="4" spans="1:23" ht="16.5" customHeight="1"/>
    <row r="5" spans="1:23" ht="49.5" customHeight="1">
      <c r="B5" s="8" t="s">
        <v>355</v>
      </c>
      <c r="D5" s="8" t="s">
        <v>356</v>
      </c>
      <c r="F5" s="8" t="s">
        <v>357</v>
      </c>
    </row>
    <row r="6" spans="1:23" ht="18.75" customHeight="1">
      <c r="B6" s="9">
        <f>COUNTA(_xlfn.UNIQUE(Budget_Features[profession]))</f>
        <v>45</v>
      </c>
      <c r="D6" s="9" t="str" cm="1">
        <f t="array" ref="D6">INDEX(Budget_Features[profession], MATCH(MAX(COUNTIF(Budget_Features[profession], Budget_Features[profession])), COUNTIF(Budget_Features[profession], Budget_Features[profession]), 0))</f>
        <v>General Public</v>
      </c>
      <c r="F6" s="10">
        <f>COUNTA(Budget_Features[name])</f>
        <v>72</v>
      </c>
    </row>
    <row r="7" spans="1:23" ht="44.25" customHeight="1">
      <c r="A7" s="17" t="s">
        <v>358</v>
      </c>
      <c r="B7" s="18"/>
      <c r="C7" s="18"/>
      <c r="D7" s="18"/>
      <c r="E7" s="18"/>
      <c r="F7" s="18"/>
      <c r="G7" s="18"/>
    </row>
    <row r="8" spans="1:23" ht="31.5" customHeight="1">
      <c r="B8" s="2" t="s">
        <v>5</v>
      </c>
      <c r="C8" s="3" t="s">
        <v>3</v>
      </c>
      <c r="D8" s="2" t="s">
        <v>6</v>
      </c>
      <c r="E8" s="2" t="s">
        <v>7</v>
      </c>
      <c r="F8" s="2" t="s">
        <v>8</v>
      </c>
      <c r="G8" s="2" t="s">
        <v>9</v>
      </c>
      <c r="H8" s="2" t="s">
        <v>1</v>
      </c>
    </row>
    <row r="9" spans="1:23" ht="182.25" customHeight="1">
      <c r="B9" s="4" t="s">
        <v>15</v>
      </c>
      <c r="C9" s="4" t="str">
        <f ca="1">INDEX(INDIRECT("Budget_Features["&amp;C$8&amp;"]"), MATCH($B9, INDIRECT("Budget_Features["&amp;$B$8&amp;"]"), 0))</f>
        <v>Daily Wage Workers, Low-Income Individuals</v>
      </c>
      <c r="D9" s="4" t="str">
        <f ca="1">INDEX(INDIRECT("Budget_Features["&amp;D$8&amp;"]"), MATCH($B$9, INDIRECT("Budget_Features["&amp;$B$8&amp;"]"), 0))</f>
        <v>Comprehensive measures to eradicate poverty through social welfare, employment, and financial inclusion programs.</v>
      </c>
      <c r="E9" s="4" t="str">
        <f ca="1">SUBSTITUTE(MID(INDEX(INDIRECT("Budget_Features["&amp;E$8&amp;"]"), MATCH($B$9, INDIRECT("Budget_Features["&amp;$B$8&amp;"]"), 0)), 13, LEN(INDEX(INDIRECT("Budget_Features["&amp;E$8&amp;"]"), MATCH($B$9, INDIRECT("Budget_Features["&amp;$B$8&amp;"]"), 0)))-13), "\n", CHAR(10))</f>
        <v>- Low-income households receive financial aid and job opportunities
- Entrepreneurs and MSMEs benefit from microfinance support
- Social welfare schemes improve standard of living</v>
      </c>
      <c r="F9" s="4" t="str">
        <f ca="1">SUBSTITUTE(MID(INDEX(INDIRECT("Budget_Features["&amp;F$8&amp;"]"), MATCH($B$9, INDIRECT("Budget_Features["&amp;$B$8&amp;"]"), 0)), 18, LEN(INDEX(INDIRECT("Budget_Features["&amp;F$8&amp;"]"), MATCH($B$9, INDIRECT("Budget_Features["&amp;$B$8&amp;"]"), 0)))-20), "\n", CHAR(10))</f>
        <v>- Implement large-scale employment generation programs
- Expand social security and direct benefit transfers
- Strengthen financial inclusion and microfinance initiatives</v>
      </c>
      <c r="G9" s="4" t="str">
        <f ca="1">INDEX(INDIRECT("Budget_Features["&amp;G$8&amp;"]"), MATCH($B$9, INDIRECT("Budget_Features["&amp;$B$8&amp;"]"), 0))</f>
        <v>All Age Groups</v>
      </c>
      <c r="H9" s="4" t="str">
        <f ca="1">INDEX(INDIRECT("Budget_Features["&amp;H$8&amp;"]"), MATCH($B$9, INDIRECT("Budget_Features["&amp;$B$8&amp;"]"), 0))</f>
        <v>Nationwide</v>
      </c>
      <c r="W9" s="1" t="str" cm="1">
        <f t="array" ref="W9:W10">_xlfn._xlws.FILTER(Budget_Features[name], Budget_Features[profession] = B13)</f>
        <v>Hundred Per Cent Good Quality School Education</v>
      </c>
    </row>
    <row r="10" spans="1:23">
      <c r="W10" t="str">
        <v>Gyan Bharatam Mission</v>
      </c>
    </row>
    <row r="11" spans="1:23" ht="18.75" customHeight="1">
      <c r="A11" s="11"/>
      <c r="B11" s="19" t="s">
        <v>359</v>
      </c>
      <c r="C11" s="19"/>
      <c r="D11" s="19"/>
      <c r="E11" s="19"/>
      <c r="F11" s="19"/>
      <c r="G11" s="19"/>
      <c r="H11" s="19"/>
    </row>
    <row r="12" spans="1:23" ht="19.5" customHeight="1">
      <c r="B12" s="5" t="s">
        <v>3</v>
      </c>
      <c r="C12" s="6" t="s">
        <v>5</v>
      </c>
      <c r="D12" s="7" t="s">
        <v>6</v>
      </c>
      <c r="E12" s="7" t="s">
        <v>7</v>
      </c>
      <c r="F12" s="7" t="s">
        <v>8</v>
      </c>
      <c r="G12" s="7" t="s">
        <v>9</v>
      </c>
      <c r="H12" s="7" t="s">
        <v>1</v>
      </c>
    </row>
    <row r="13" spans="1:23" ht="195.75" customHeight="1">
      <c r="B13" s="4" t="s">
        <v>20</v>
      </c>
      <c r="C13" s="4" t="s">
        <v>15</v>
      </c>
      <c r="D13" s="4" t="str">
        <f ca="1">INDEX(INDIRECT("Budget_Features["&amp;D$8&amp;"]"), MATCH($C$13, INDIRECT("Budget_Features[name]"), 0))</f>
        <v>Comprehensive measures to eradicate poverty through social welfare, employment, and financial inclusion programs.</v>
      </c>
      <c r="E13" s="4" t="str">
        <f ca="1">SUBSTITUTE(MID(INDEX(INDIRECT("Budget_Features["&amp;E$12&amp;"]"), MATCH($C$13, Budget_Features[name], 0)), 13, LEN(INDEX(INDIRECT("Budget_Features["&amp;E$12&amp;"]"), MATCH($C$13, Budget_Features[name], 0)))-13), "\n", CHAR(10))</f>
        <v>- Low-income households receive financial aid and job opportunities
- Entrepreneurs and MSMEs benefit from microfinance support
- Social welfare schemes improve standard of living</v>
      </c>
      <c r="F13" s="4" t="str">
        <f ca="1">SUBSTITUTE(MID(INDEX(INDIRECT("Budget_Features["&amp;F$12&amp;"]"), MATCH($C$13, Budget_Features[name], 0)), 18, LEN(INDEX(INDIRECT("Budget_Features["&amp;F$12&amp;"]"), MATCH($C$13, Budget_Features[name], 0)))-20), "\n", CHAR(10))</f>
        <v>- Implement large-scale employment generation programs
- Expand social security and direct benefit transfers
- Strengthen financial inclusion and microfinance initiatives</v>
      </c>
      <c r="G13" s="4" t="str">
        <f ca="1">INDEX(INDIRECT("Budget_Features["&amp;G$8&amp;"]"), MATCH($C$13, INDIRECT("Budget_Features[name]"), 0))</f>
        <v>All Age Groups</v>
      </c>
      <c r="H13" s="4" t="str">
        <f ca="1">INDEX(INDIRECT("Budget_Features["&amp;H$8&amp;"]"), MATCH($C$13, INDIRECT("Budget_Features[name]"), 0))</f>
        <v>Nationwide</v>
      </c>
    </row>
    <row r="15" spans="1:23" ht="16.5" customHeight="1"/>
    <row r="16" spans="1:23" ht="45.75">
      <c r="B16" s="12" t="s">
        <v>3</v>
      </c>
      <c r="C16" s="13" t="s">
        <v>360</v>
      </c>
      <c r="G16" s="16" t="s">
        <v>361</v>
      </c>
      <c r="H16" s="13" t="s">
        <v>362</v>
      </c>
    </row>
    <row r="17" spans="2:8">
      <c r="B17" s="14" t="s">
        <v>25</v>
      </c>
      <c r="C17" s="15">
        <v>12</v>
      </c>
      <c r="G17" s="14" t="s">
        <v>30</v>
      </c>
      <c r="H17" s="15">
        <v>39</v>
      </c>
    </row>
    <row r="18" spans="2:8">
      <c r="B18" s="14" t="s">
        <v>116</v>
      </c>
      <c r="C18" s="15">
        <v>4</v>
      </c>
      <c r="G18" s="14" t="s">
        <v>335</v>
      </c>
      <c r="H18" s="15">
        <v>1</v>
      </c>
    </row>
    <row r="19" spans="2:8">
      <c r="B19" s="14" t="s">
        <v>215</v>
      </c>
      <c r="C19" s="15">
        <v>3</v>
      </c>
      <c r="G19" s="14" t="s">
        <v>13</v>
      </c>
      <c r="H19" s="15">
        <v>23</v>
      </c>
    </row>
    <row r="20" spans="2:8">
      <c r="B20" s="14" t="s">
        <v>308</v>
      </c>
      <c r="C20" s="15">
        <v>3</v>
      </c>
      <c r="G20" s="14" t="s">
        <v>19</v>
      </c>
      <c r="H20" s="15">
        <v>1</v>
      </c>
    </row>
    <row r="21" spans="2:8">
      <c r="B21" s="14" t="s">
        <v>133</v>
      </c>
      <c r="C21" s="15">
        <v>2</v>
      </c>
      <c r="G21" s="14" t="s">
        <v>157</v>
      </c>
      <c r="H21" s="15">
        <v>2</v>
      </c>
    </row>
    <row r="22" spans="2:8">
      <c r="B22" s="14" t="s">
        <v>245</v>
      </c>
      <c r="C22" s="15">
        <v>2</v>
      </c>
    </row>
    <row r="23" spans="2:8">
      <c r="B23" s="14" t="s">
        <v>163</v>
      </c>
      <c r="C23" s="15">
        <v>2</v>
      </c>
    </row>
    <row r="24" spans="2:8">
      <c r="B24" s="14" t="s">
        <v>45</v>
      </c>
      <c r="C24" s="15">
        <v>2</v>
      </c>
    </row>
    <row r="25" spans="2:8">
      <c r="B25" s="14" t="s">
        <v>66</v>
      </c>
      <c r="C25" s="15">
        <v>2</v>
      </c>
    </row>
    <row r="26" spans="2:8">
      <c r="B26" s="14" t="s">
        <v>20</v>
      </c>
      <c r="C26" s="15">
        <v>2</v>
      </c>
    </row>
    <row r="27" spans="2:8">
      <c r="B27" s="14" t="s">
        <v>264</v>
      </c>
      <c r="C27" s="15">
        <v>1</v>
      </c>
    </row>
    <row r="28" spans="2:8">
      <c r="B28" s="14" t="s">
        <v>14</v>
      </c>
      <c r="C28" s="15">
        <v>1</v>
      </c>
    </row>
    <row r="29" spans="2:8">
      <c r="B29" s="14" t="s">
        <v>274</v>
      </c>
      <c r="C29" s="15">
        <v>1</v>
      </c>
    </row>
    <row r="30" spans="2:8">
      <c r="B30" s="14" t="s">
        <v>299</v>
      </c>
      <c r="C30" s="15">
        <v>1</v>
      </c>
    </row>
    <row r="31" spans="2:8">
      <c r="B31" s="14" t="s">
        <v>325</v>
      </c>
      <c r="C31" s="15">
        <v>1</v>
      </c>
    </row>
    <row r="32" spans="2:8">
      <c r="B32" s="14" t="s">
        <v>178</v>
      </c>
      <c r="C32" s="15">
        <v>1</v>
      </c>
    </row>
    <row r="33" spans="2:3">
      <c r="B33" s="14" t="s">
        <v>279</v>
      </c>
      <c r="C33" s="15">
        <v>1</v>
      </c>
    </row>
    <row r="34" spans="2:3">
      <c r="B34" s="14" t="s">
        <v>192</v>
      </c>
      <c r="C34" s="15">
        <v>1</v>
      </c>
    </row>
    <row r="35" spans="2:3">
      <c r="B35" s="14" t="s">
        <v>284</v>
      </c>
      <c r="C35" s="15">
        <v>1</v>
      </c>
    </row>
    <row r="36" spans="2:3">
      <c r="B36" s="14" t="s">
        <v>152</v>
      </c>
      <c r="C36" s="15">
        <v>1</v>
      </c>
    </row>
    <row r="37" spans="2:3">
      <c r="B37" s="14" t="s">
        <v>341</v>
      </c>
      <c r="C37" s="15">
        <v>1</v>
      </c>
    </row>
    <row r="38" spans="2:3">
      <c r="B38" s="14" t="s">
        <v>183</v>
      </c>
      <c r="C38" s="15">
        <v>1</v>
      </c>
    </row>
    <row r="39" spans="2:3">
      <c r="B39" s="14" t="s">
        <v>90</v>
      </c>
      <c r="C39" s="15">
        <v>1</v>
      </c>
    </row>
    <row r="40" spans="2:3">
      <c r="B40" s="14" t="s">
        <v>289</v>
      </c>
      <c r="C40" s="15">
        <v>1</v>
      </c>
    </row>
    <row r="41" spans="2:3">
      <c r="B41" s="14" t="s">
        <v>269</v>
      </c>
      <c r="C41" s="15">
        <v>1</v>
      </c>
    </row>
    <row r="42" spans="2:3">
      <c r="B42" s="14" t="s">
        <v>95</v>
      </c>
      <c r="C42" s="15">
        <v>1</v>
      </c>
    </row>
    <row r="43" spans="2:3">
      <c r="B43" s="14" t="s">
        <v>142</v>
      </c>
      <c r="C43" s="15">
        <v>1</v>
      </c>
    </row>
    <row r="44" spans="2:3">
      <c r="B44" s="14" t="s">
        <v>35</v>
      </c>
      <c r="C44" s="15">
        <v>1</v>
      </c>
    </row>
    <row r="45" spans="2:3">
      <c r="B45" s="14" t="s">
        <v>168</v>
      </c>
      <c r="C45" s="15">
        <v>1</v>
      </c>
    </row>
    <row r="46" spans="2:3">
      <c r="B46" s="14" t="s">
        <v>336</v>
      </c>
      <c r="C46" s="15">
        <v>1</v>
      </c>
    </row>
    <row r="47" spans="2:3">
      <c r="B47" s="14" t="s">
        <v>105</v>
      </c>
      <c r="C47" s="15">
        <v>1</v>
      </c>
    </row>
    <row r="48" spans="2:3">
      <c r="B48" s="14" t="s">
        <v>40</v>
      </c>
      <c r="C48" s="15">
        <v>1</v>
      </c>
    </row>
    <row r="49" spans="2:3">
      <c r="B49" s="14" t="s">
        <v>158</v>
      </c>
      <c r="C49" s="15">
        <v>1</v>
      </c>
    </row>
    <row r="50" spans="2:3">
      <c r="B50" s="14" t="s">
        <v>75</v>
      </c>
      <c r="C50" s="15">
        <v>1</v>
      </c>
    </row>
    <row r="51" spans="2:3">
      <c r="B51" s="14" t="s">
        <v>350</v>
      </c>
      <c r="C51" s="15">
        <v>1</v>
      </c>
    </row>
    <row r="52" spans="2:3">
      <c r="B52" s="14" t="s">
        <v>147</v>
      </c>
      <c r="C52" s="15">
        <v>1</v>
      </c>
    </row>
    <row r="53" spans="2:3">
      <c r="B53" s="14" t="s">
        <v>173</v>
      </c>
      <c r="C53" s="15">
        <v>1</v>
      </c>
    </row>
    <row r="54" spans="2:3">
      <c r="B54" s="14" t="s">
        <v>100</v>
      </c>
      <c r="C54" s="15">
        <v>1</v>
      </c>
    </row>
    <row r="55" spans="2:3">
      <c r="B55" s="14" t="s">
        <v>80</v>
      </c>
      <c r="C55" s="15">
        <v>1</v>
      </c>
    </row>
    <row r="56" spans="2:3">
      <c r="B56" s="14" t="s">
        <v>330</v>
      </c>
      <c r="C56" s="15">
        <v>1</v>
      </c>
    </row>
    <row r="57" spans="2:3">
      <c r="B57" s="14" t="s">
        <v>206</v>
      </c>
      <c r="C57" s="15">
        <v>1</v>
      </c>
    </row>
    <row r="58" spans="2:3">
      <c r="B58" s="14" t="s">
        <v>294</v>
      </c>
      <c r="C58" s="15">
        <v>1</v>
      </c>
    </row>
  </sheetData>
  <mergeCells count="2">
    <mergeCell ref="A7:G7"/>
    <mergeCell ref="B11:H11"/>
  </mergeCells>
  <dataValidations count="3">
    <dataValidation type="list" allowBlank="1" showInputMessage="1" showErrorMessage="1" sqref="B9" xr:uid="{082789A3-1EC2-4E3A-A44E-1A0602CD1A65}">
      <formula1>INDIRECT("Budget_Features[name]")</formula1>
    </dataValidation>
    <dataValidation type="list" allowBlank="1" showInputMessage="1" showErrorMessage="1" sqref="B13" xr:uid="{5F6F9448-6099-4478-8EF7-EB6860AB241B}">
      <formula1>INDIRECT("Budget_Features[profession]")</formula1>
    </dataValidation>
    <dataValidation type="list" allowBlank="1" showInputMessage="1" showErrorMessage="1" sqref="C13" xr:uid="{7BF71B3D-8AED-4FF4-B6F5-DC420DE26AE8}">
      <formula1>_xlfn.ANCHORARRAY(currProf)</formula1>
    </dataValidation>
  </dataValidations>
  <printOptions verticalCentered="1"/>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2026-06-27T10:17:41Z</dcterms:created>
  <dcterms:modified xsi:type="dcterms:W3CDTF">2026-07-23T03:13:58Z</dcterms:modified>
  <cp:category/>
  <cp:contentStatus/>
</cp:coreProperties>
</file>